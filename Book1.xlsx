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sargaentrubme/Desktop/Economic Data Analysis Project/"/>
    </mc:Choice>
  </mc:AlternateContent>
  <xr:revisionPtr revIDLastSave="0" documentId="8_{FBB0475A-FA6E-294A-9C8D-FBAF23225F99}" xr6:coauthVersionLast="47" xr6:coauthVersionMax="47" xr10:uidLastSave="{00000000-0000-0000-0000-000000000000}"/>
  <bookViews>
    <workbookView xWindow="160" yWindow="660" windowWidth="15420" windowHeight="16040" xr2:uid="{B3F28540-3E27-EC46-93FD-99643F69D994}"/>
  </bookViews>
  <sheets>
    <sheet name="Sales_Data" sheetId="1" r:id="rId1"/>
    <sheet name="Reference_Table" sheetId="2" r:id="rId2"/>
    <sheet name="Analysis" sheetId="3" r:id="rId3"/>
    <sheet name="Executive_Dashboard" sheetId="4" r:id="rId4"/>
  </sheets>
  <calcPr calcId="191029"/>
  <pivotCaches>
    <pivotCache cacheId="1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6" i="1" l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46" i="1" a="1"/>
  <c r="C46" i="1" s="1"/>
  <c r="D46" i="1" s="1" a="1"/>
  <c r="D46" i="1" s="1"/>
  <c r="C45" i="1" a="1"/>
  <c r="C45" i="1" s="1"/>
  <c r="D45" i="1" s="1" a="1"/>
  <c r="D45" i="1" s="1"/>
  <c r="C44" i="1" a="1"/>
  <c r="C44" i="1" s="1"/>
  <c r="D44" i="1" s="1" a="1"/>
  <c r="D44" i="1" s="1"/>
  <c r="C43" i="1" a="1"/>
  <c r="C43" i="1" s="1"/>
  <c r="D43" i="1" s="1" a="1"/>
  <c r="D43" i="1" s="1"/>
  <c r="C42" i="1" a="1"/>
  <c r="C42" i="1" s="1"/>
  <c r="D42" i="1" s="1" a="1"/>
  <c r="D42" i="1" s="1"/>
  <c r="C41" i="1" a="1"/>
  <c r="C41" i="1" s="1"/>
  <c r="D41" i="1" s="1" a="1"/>
  <c r="D41" i="1" s="1"/>
  <c r="C40" i="1" a="1"/>
  <c r="C40" i="1" s="1"/>
  <c r="D40" i="1" s="1" a="1"/>
  <c r="D40" i="1" s="1"/>
  <c r="C39" i="1" a="1"/>
  <c r="C39" i="1" s="1"/>
  <c r="D39" i="1" s="1" a="1"/>
  <c r="D39" i="1" s="1"/>
  <c r="C38" i="1" a="1"/>
  <c r="C38" i="1" s="1"/>
  <c r="D38" i="1" s="1" a="1"/>
  <c r="D38" i="1" s="1"/>
  <c r="C37" i="1" a="1"/>
  <c r="C37" i="1" s="1"/>
  <c r="D37" i="1" s="1" a="1"/>
  <c r="D37" i="1" s="1"/>
  <c r="C36" i="1" a="1"/>
  <c r="C36" i="1" s="1"/>
  <c r="D36" i="1" s="1" a="1"/>
  <c r="D36" i="1" s="1"/>
  <c r="C35" i="1" a="1"/>
  <c r="C35" i="1" s="1"/>
  <c r="D35" i="1" s="1" a="1"/>
  <c r="D35" i="1" s="1"/>
  <c r="C34" i="1" a="1"/>
  <c r="C34" i="1" s="1"/>
  <c r="D34" i="1" s="1" a="1"/>
  <c r="D34" i="1" s="1"/>
  <c r="C33" i="1" a="1"/>
  <c r="C33" i="1" s="1"/>
  <c r="D33" i="1" s="1" a="1"/>
  <c r="D33" i="1" s="1"/>
  <c r="C32" i="1" a="1"/>
  <c r="C32" i="1" s="1"/>
  <c r="D32" i="1" s="1" a="1"/>
  <c r="D32" i="1" s="1"/>
  <c r="C31" i="1" a="1"/>
  <c r="C31" i="1" s="1"/>
  <c r="D31" i="1" s="1" a="1"/>
  <c r="D31" i="1" s="1"/>
  <c r="C30" i="1" a="1"/>
  <c r="C30" i="1" s="1"/>
  <c r="D30" i="1" s="1" a="1"/>
  <c r="D30" i="1" s="1"/>
  <c r="C29" i="1" a="1"/>
  <c r="C29" i="1" s="1"/>
  <c r="D29" i="1" s="1" a="1"/>
  <c r="D29" i="1" s="1"/>
  <c r="C28" i="1" a="1"/>
  <c r="C28" i="1" s="1"/>
  <c r="D28" i="1" s="1" a="1"/>
  <c r="D28" i="1" s="1"/>
  <c r="C27" i="1" a="1"/>
  <c r="C27" i="1" s="1"/>
  <c r="D27" i="1" s="1" a="1"/>
  <c r="D27" i="1" s="1"/>
  <c r="C26" i="1" a="1"/>
  <c r="C26" i="1" s="1"/>
  <c r="D26" i="1" s="1" a="1"/>
  <c r="D26" i="1" s="1"/>
  <c r="C25" i="1" a="1"/>
  <c r="C25" i="1" s="1"/>
  <c r="D25" i="1" s="1" a="1"/>
  <c r="D25" i="1" s="1"/>
  <c r="C24" i="1" a="1"/>
  <c r="C24" i="1" s="1"/>
  <c r="D24" i="1" s="1" a="1"/>
  <c r="D24" i="1" s="1"/>
  <c r="C23" i="1" a="1"/>
  <c r="C23" i="1" s="1"/>
  <c r="D23" i="1" s="1" a="1"/>
  <c r="D23" i="1" s="1"/>
  <c r="C22" i="1" a="1"/>
  <c r="C22" i="1" s="1"/>
  <c r="D22" i="1" s="1" a="1"/>
  <c r="D22" i="1" s="1"/>
  <c r="C21" i="1" a="1"/>
  <c r="C21" i="1" s="1"/>
  <c r="D21" i="1" s="1" a="1"/>
  <c r="D21" i="1" s="1"/>
  <c r="C20" i="1" a="1"/>
  <c r="C20" i="1" s="1"/>
  <c r="D20" i="1" s="1" a="1"/>
  <c r="D20" i="1" s="1"/>
  <c r="C19" i="1" a="1"/>
  <c r="C19" i="1" s="1"/>
  <c r="D19" i="1" s="1" a="1"/>
  <c r="D19" i="1" s="1"/>
  <c r="C18" i="1" a="1"/>
  <c r="C18" i="1" s="1"/>
  <c r="D18" i="1" s="1" a="1"/>
  <c r="D18" i="1" s="1"/>
  <c r="C17" i="1" a="1"/>
  <c r="C17" i="1" s="1"/>
  <c r="D17" i="1" s="1" a="1"/>
  <c r="D17" i="1" s="1"/>
  <c r="C16" i="1" a="1"/>
  <c r="C16" i="1" s="1"/>
  <c r="D16" i="1" s="1" a="1"/>
  <c r="D16" i="1" s="1"/>
  <c r="C15" i="1" a="1"/>
  <c r="C15" i="1" s="1"/>
  <c r="D15" i="1" s="1" a="1"/>
  <c r="D15" i="1" s="1"/>
  <c r="C14" i="1" a="1"/>
  <c r="C14" i="1" s="1"/>
  <c r="D14" i="1" s="1" a="1"/>
  <c r="D14" i="1" s="1"/>
  <c r="C13" i="1" a="1"/>
  <c r="C13" i="1" s="1"/>
  <c r="D13" i="1" s="1" a="1"/>
  <c r="D13" i="1" s="1"/>
  <c r="C12" i="1" a="1"/>
  <c r="C12" i="1" s="1"/>
  <c r="D12" i="1" s="1" a="1"/>
  <c r="D12" i="1" s="1"/>
  <c r="C11" i="1" a="1"/>
  <c r="C11" i="1" s="1"/>
  <c r="D11" i="1" s="1" a="1"/>
  <c r="D11" i="1" s="1"/>
  <c r="C10" i="1" a="1"/>
  <c r="C10" i="1" s="1"/>
  <c r="D10" i="1" s="1" a="1"/>
  <c r="D10" i="1" s="1"/>
  <c r="C9" i="1" a="1"/>
  <c r="C9" i="1" s="1"/>
  <c r="D9" i="1" s="1" a="1"/>
  <c r="D9" i="1" s="1"/>
  <c r="C8" i="1" a="1"/>
  <c r="C8" i="1" s="1"/>
  <c r="D8" i="1" s="1" a="1"/>
  <c r="D8" i="1" s="1"/>
  <c r="C7" i="1" a="1"/>
  <c r="C7" i="1" s="1"/>
  <c r="D7" i="1" s="1" a="1"/>
  <c r="D7" i="1" s="1"/>
  <c r="C6" i="1" a="1"/>
  <c r="C6" i="1" s="1"/>
  <c r="D6" i="1" s="1" a="1"/>
  <c r="D6" i="1" s="1"/>
  <c r="C5" i="1" a="1"/>
  <c r="C5" i="1" s="1"/>
  <c r="D5" i="1" s="1" a="1"/>
  <c r="D5" i="1" s="1"/>
  <c r="C4" i="1" a="1"/>
  <c r="C4" i="1" s="1"/>
  <c r="D4" i="1" s="1" a="1"/>
  <c r="D4" i="1" s="1"/>
  <c r="C3" i="1" a="1"/>
  <c r="C3" i="1" s="1"/>
  <c r="D3" i="1" s="1" a="1"/>
  <c r="D3" i="1" s="1"/>
  <c r="C2" i="1" a="1"/>
  <c r="C2" i="1" s="1"/>
  <c r="D2" i="1" s="1" a="1"/>
  <c r="D2" i="1" s="1"/>
  <c r="B46" i="1" a="1"/>
  <c r="B46" i="1" s="1"/>
  <c r="B45" i="1" a="1"/>
  <c r="B45" i="1" s="1"/>
  <c r="B44" i="1" a="1"/>
  <c r="B44" i="1" s="1"/>
  <c r="B43" i="1" a="1"/>
  <c r="B43" i="1" s="1"/>
  <c r="B42" i="1" a="1"/>
  <c r="B42" i="1" s="1"/>
  <c r="B41" i="1" a="1"/>
  <c r="B41" i="1" s="1"/>
  <c r="B40" i="1" a="1"/>
  <c r="B40" i="1" s="1"/>
  <c r="B39" i="1" a="1"/>
  <c r="B39" i="1" s="1"/>
  <c r="B38" i="1" a="1"/>
  <c r="B38" i="1" s="1"/>
  <c r="B37" i="1" a="1"/>
  <c r="B37" i="1" s="1"/>
  <c r="B36" i="1" a="1"/>
  <c r="B36" i="1" s="1"/>
  <c r="B35" i="1" a="1"/>
  <c r="B35" i="1" s="1"/>
  <c r="B34" i="1" a="1"/>
  <c r="B34" i="1" s="1"/>
  <c r="B33" i="1" a="1"/>
  <c r="B33" i="1" s="1"/>
  <c r="B32" i="1" a="1"/>
  <c r="B32" i="1" s="1"/>
  <c r="B31" i="1" a="1"/>
  <c r="B31" i="1" s="1"/>
  <c r="B30" i="1" a="1"/>
  <c r="B30" i="1" s="1"/>
  <c r="B29" i="1" a="1"/>
  <c r="B29" i="1" s="1"/>
  <c r="B28" i="1" a="1"/>
  <c r="B28" i="1" s="1"/>
  <c r="B27" i="1" a="1"/>
  <c r="B27" i="1" s="1"/>
  <c r="B26" i="1" a="1"/>
  <c r="B26" i="1" s="1"/>
  <c r="B25" i="1" a="1"/>
  <c r="B25" i="1" s="1"/>
  <c r="B24" i="1" a="1"/>
  <c r="B24" i="1" s="1"/>
  <c r="B23" i="1" a="1"/>
  <c r="B23" i="1" s="1"/>
  <c r="B22" i="1" a="1"/>
  <c r="B22" i="1" s="1"/>
  <c r="B21" i="1" a="1"/>
  <c r="B21" i="1" s="1"/>
  <c r="B20" i="1" a="1"/>
  <c r="B20" i="1" s="1"/>
  <c r="B19" i="1" a="1"/>
  <c r="B19" i="1" s="1"/>
  <c r="B18" i="1" a="1"/>
  <c r="B18" i="1" s="1"/>
  <c r="B17" i="1" a="1"/>
  <c r="B17" i="1" s="1"/>
  <c r="B16" i="1" a="1"/>
  <c r="B16" i="1" s="1"/>
  <c r="B15" i="1" a="1"/>
  <c r="B15" i="1" s="1"/>
  <c r="B14" i="1" a="1"/>
  <c r="B14" i="1" s="1"/>
  <c r="B13" i="1" a="1"/>
  <c r="B13" i="1" s="1"/>
  <c r="B12" i="1" a="1"/>
  <c r="B12" i="1" s="1"/>
  <c r="B11" i="1" a="1"/>
  <c r="B11" i="1" s="1"/>
  <c r="B10" i="1" a="1"/>
  <c r="B10" i="1" s="1"/>
  <c r="B9" i="1" a="1"/>
  <c r="B9" i="1" s="1"/>
  <c r="B8" i="1" a="1"/>
  <c r="B8" i="1" s="1"/>
  <c r="B7" i="1" a="1"/>
  <c r="B7" i="1" s="1"/>
  <c r="B6" i="1" a="1"/>
  <c r="B6" i="1" s="1"/>
  <c r="B5" i="1" a="1"/>
  <c r="B5" i="1" s="1"/>
  <c r="B4" i="1" a="1"/>
  <c r="B4" i="1" s="1"/>
  <c r="B3" i="1" a="1"/>
  <c r="B3" i="1" s="1"/>
  <c r="B2" i="1" a="1"/>
  <c r="B2" i="1" s="1"/>
  <c r="F18" i="1" l="1"/>
  <c r="F23" i="1"/>
  <c r="F26" i="1"/>
  <c r="F31" i="1"/>
  <c r="F34" i="1"/>
  <c r="F7" i="1"/>
  <c r="F39" i="1"/>
  <c r="F10" i="1"/>
  <c r="F42" i="1"/>
  <c r="F15" i="1"/>
  <c r="F40" i="1"/>
  <c r="F8" i="1"/>
  <c r="F16" i="1"/>
  <c r="F24" i="1"/>
  <c r="F32" i="1"/>
  <c r="F9" i="1"/>
  <c r="F17" i="1"/>
  <c r="F25" i="1"/>
  <c r="F33" i="1"/>
  <c r="F41" i="1"/>
  <c r="F43" i="1"/>
  <c r="F44" i="1"/>
  <c r="F3" i="1"/>
  <c r="F19" i="1"/>
  <c r="F35" i="1"/>
  <c r="F4" i="1"/>
  <c r="F12" i="1"/>
  <c r="F28" i="1"/>
  <c r="F5" i="1"/>
  <c r="F13" i="1"/>
  <c r="F21" i="1"/>
  <c r="F29" i="1"/>
  <c r="F37" i="1"/>
  <c r="F45" i="1"/>
  <c r="F11" i="1"/>
  <c r="F27" i="1"/>
  <c r="F20" i="1"/>
  <c r="F36" i="1"/>
  <c r="F6" i="1"/>
  <c r="F14" i="1"/>
  <c r="F22" i="1"/>
  <c r="F30" i="1"/>
  <c r="F38" i="1"/>
  <c r="F46" i="1"/>
  <c r="F2" i="1"/>
  <c r="G29" i="1" l="1"/>
  <c r="H29" i="1" s="1"/>
  <c r="G3" i="1"/>
  <c r="H3" i="1" s="1"/>
  <c r="G32" i="1"/>
  <c r="H32" i="1" s="1"/>
  <c r="G39" i="1"/>
  <c r="H39" i="1" s="1"/>
  <c r="G6" i="1"/>
  <c r="H6" i="1" s="1"/>
  <c r="G10" i="1"/>
  <c r="H10" i="1" s="1"/>
  <c r="G44" i="1"/>
  <c r="H44" i="1" s="1"/>
  <c r="G43" i="1"/>
  <c r="H43" i="1" s="1"/>
  <c r="G31" i="1"/>
  <c r="H31" i="1" s="1"/>
  <c r="G19" i="1"/>
  <c r="H19" i="1" s="1"/>
  <c r="G13" i="1"/>
  <c r="H13" i="1" s="1"/>
  <c r="G11" i="1"/>
  <c r="H11" i="1" s="1"/>
  <c r="G14" i="1"/>
  <c r="H14" i="1" s="1"/>
  <c r="G21" i="1"/>
  <c r="H21" i="1" s="1"/>
  <c r="G24" i="1"/>
  <c r="H24" i="1" s="1"/>
  <c r="G20" i="1"/>
  <c r="H20" i="1" s="1"/>
  <c r="G16" i="1"/>
  <c r="H16" i="1" s="1"/>
  <c r="G46" i="1"/>
  <c r="H46" i="1" s="1"/>
  <c r="G28" i="1"/>
  <c r="H28" i="1" s="1"/>
  <c r="G8" i="1"/>
  <c r="H8" i="1" s="1"/>
  <c r="G33" i="1"/>
  <c r="H33" i="1" s="1"/>
  <c r="G4" i="1"/>
  <c r="H4" i="1" s="1"/>
  <c r="G23" i="1"/>
  <c r="H23" i="1" s="1"/>
  <c r="G9" i="1"/>
  <c r="H9" i="1" s="1"/>
  <c r="G36" i="1"/>
  <c r="H36" i="1" s="1"/>
  <c r="G7" i="1"/>
  <c r="H7" i="1" s="1"/>
  <c r="G5" i="1"/>
  <c r="H5" i="1" s="1"/>
  <c r="G34" i="1"/>
  <c r="H34" i="1" s="1"/>
  <c r="G27" i="1"/>
  <c r="H27" i="1" s="1"/>
  <c r="G41" i="1"/>
  <c r="H41" i="1" s="1"/>
  <c r="G38" i="1"/>
  <c r="H38" i="1" s="1"/>
  <c r="G12" i="1"/>
  <c r="H12" i="1" s="1"/>
  <c r="G40" i="1"/>
  <c r="H40" i="1" s="1"/>
  <c r="G26" i="1"/>
  <c r="H26" i="1" s="1"/>
  <c r="G30" i="1"/>
  <c r="H30" i="1" s="1"/>
  <c r="G45" i="1"/>
  <c r="H45" i="1" s="1"/>
  <c r="G25" i="1"/>
  <c r="H25" i="1" s="1"/>
  <c r="G15" i="1"/>
  <c r="H15" i="1" s="1"/>
  <c r="G22" i="1"/>
  <c r="H22" i="1" s="1"/>
  <c r="G37" i="1"/>
  <c r="H37" i="1" s="1"/>
  <c r="G35" i="1"/>
  <c r="H35" i="1" s="1"/>
  <c r="G17" i="1"/>
  <c r="H17" i="1" s="1"/>
  <c r="G42" i="1"/>
  <c r="H42" i="1" s="1"/>
  <c r="G18" i="1"/>
  <c r="H18" i="1" s="1"/>
  <c r="G2" i="1"/>
  <c r="H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<sst xmlns="http://schemas.openxmlformats.org/spreadsheetml/2006/main" count="130" uniqueCount="42">
  <si>
    <t>Data</t>
  </si>
  <si>
    <t>Store</t>
  </si>
  <si>
    <t>Category</t>
  </si>
  <si>
    <t>Product</t>
  </si>
  <si>
    <t>Units Sold</t>
  </si>
  <si>
    <t>Revenue</t>
  </si>
  <si>
    <t>Cost</t>
  </si>
  <si>
    <t>Profit</t>
  </si>
  <si>
    <t xml:space="preserve">Inventory </t>
  </si>
  <si>
    <t>Tampa</t>
  </si>
  <si>
    <t>Clearwater</t>
  </si>
  <si>
    <t>St. Petersburg</t>
  </si>
  <si>
    <t>Footwear</t>
  </si>
  <si>
    <t>Apparel</t>
  </si>
  <si>
    <t>Equipment</t>
  </si>
  <si>
    <t>Nike Running</t>
  </si>
  <si>
    <t>Adidas Sneakers</t>
  </si>
  <si>
    <t>Brooks Running</t>
  </si>
  <si>
    <t>Under Armour Hoodie</t>
  </si>
  <si>
    <t>Nike Shorts</t>
  </si>
  <si>
    <t>Adidas Joggers</t>
  </si>
  <si>
    <t>Yoga Mat</t>
  </si>
  <si>
    <t>Dumbbell Set</t>
  </si>
  <si>
    <t>Kettlebell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</si>
  <si>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</si>
  <si>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</si>
  <si>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</si>
  <si>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</si>
  <si>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</si>
  <si>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</si>
  <si>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</si>
  <si>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</si>
  <si>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</si>
  <si>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</si>
  <si>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</si>
  <si>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</si>
  <si>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</si>
  <si>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</si>
  <si>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Revenue</t>
  </si>
  <si>
    <t>Sum of Cost</t>
  </si>
  <si>
    <t xml:space="preserve">Sum of Inventory 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</si>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</sst>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5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[Book1.xlsx]Analysis!PivotTable1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Analysis!$A$2:$A$14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Analysis!$B$2:$B$14</c:f>
              <c:numCache>
                <c:formatCode>"$"#,##0.00</c:formatCode>
                <c:ptCount val="12"/>
                <c:pt idx="0">
                  <c:v>27383</c:v>
                </c:pt>
                <c:pt idx="1">
                  <c:v>40863</c:v>
                </c:pt>
                <c:pt idx="2">
                  <c:v>25613</c:v>
                </c:pt>
                <c:pt idx="3">
                  <c:v>21430</c:v>
                </c:pt>
                <c:pt idx="4">
                  <c:v>14255</c:v>
                </c:pt>
                <c:pt idx="5">
                  <c:v>20001</c:v>
                </c:pt>
                <c:pt idx="6">
                  <c:v>10038</c:v>
                </c:pt>
                <c:pt idx="7">
                  <c:v>28083</c:v>
                </c:pt>
                <c:pt idx="8">
                  <c:v>26102</c:v>
                </c:pt>
                <c:pt idx="9">
                  <c:v>9325</c:v>
                </c:pt>
                <c:pt idx="10">
                  <c:v>17007</c:v>
                </c:pt>
                <c:pt idx="11">
                  <c:v>14803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69-F340-9077-50EE871E6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0041616"/>
        <c:axId val="359981072"/>
      </c:lineChart>
      <c:catAx>
        <c:axId val="36004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981072"/>
        <c:crosses val="autoZero"/>
        <c:auto val="1"/>
        <c:lblAlgn val="ctr"/>
        <c:lblOffset val="100"/>
        <c:noMultiLvlLbl val="0"/>
      </c:catAx>
      <c:valAx>
        <c:axId val="35998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04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[Book1.xlsx]Analysis!PivotTable2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Analysis!$A$16:$A$19</c:f>
              <c:strCache>
                <c:ptCount val="3"/>
                <c:pt idx="0">
                  <c:v>Apparel</c:v>
                </c:pt>
                <c:pt idx="1">
                  <c:v>Equipment</c:v>
                </c:pt>
                <c:pt idx="2">
                  <c:v>Footwear</c:v>
                </c:pt>
              </c:strCache>
            </c:strRef>
          </c:cat>
          <c:val>
            <c:numRef>
              <c:f>Analysis!$B$16:$B$19</c:f>
              <c:numCache>
                <c:formatCode>"$"#,##0.00</c:formatCode>
                <c:ptCount val="3"/>
                <c:pt idx="0">
                  <c:v>36303</c:v>
                </c:pt>
                <c:pt idx="1">
                  <c:v>109706</c:v>
                </c:pt>
                <c:pt idx="2">
                  <c:v>108894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C2-4F42-A6DA-671C429AF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947120"/>
        <c:axId val="376948832"/>
      </c:barChart>
      <c:catAx>
        <c:axId val="37694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948832"/>
        <c:crosses val="autoZero"/>
        <c:auto val="1"/>
        <c:lblAlgn val="ctr"/>
        <c:lblOffset val="100"/>
        <c:noMultiLvlLbl val="0"/>
      </c:catAx>
      <c:valAx>
        <c:axId val="37694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94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[Book1.xlsx]Analysis!PivotTable3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Analysis!$D$2:$D$11</c:f>
              <c:strCache>
                <c:ptCount val="9"/>
                <c:pt idx="0">
                  <c:v>Adidas Joggers</c:v>
                </c:pt>
                <c:pt idx="1">
                  <c:v>Adidas Sneakers</c:v>
                </c:pt>
                <c:pt idx="2">
                  <c:v>Brooks Running</c:v>
                </c:pt>
                <c:pt idx="3">
                  <c:v>Dumbbell Set</c:v>
                </c:pt>
                <c:pt idx="4">
                  <c:v>Kettlebell</c:v>
                </c:pt>
                <c:pt idx="5">
                  <c:v>Nike Running</c:v>
                </c:pt>
                <c:pt idx="6">
                  <c:v>Nike Shorts</c:v>
                </c:pt>
                <c:pt idx="7">
                  <c:v>Under Armour Hoodie</c:v>
                </c:pt>
                <c:pt idx="8">
                  <c:v>Yoga Mat</c:v>
                </c:pt>
              </c:strCache>
            </c:strRef>
          </c:cat>
          <c:val>
            <c:numRef>
              <c:f>Analysis!$E$2:$E$11</c:f>
              <c:numCache>
                <c:formatCode>"$"#,##0.00</c:formatCode>
                <c:ptCount val="9"/>
                <c:pt idx="0">
                  <c:v>19028</c:v>
                </c:pt>
                <c:pt idx="1">
                  <c:v>34453</c:v>
                </c:pt>
                <c:pt idx="2">
                  <c:v>56027</c:v>
                </c:pt>
                <c:pt idx="3">
                  <c:v>40141</c:v>
                </c:pt>
                <c:pt idx="4">
                  <c:v>39123</c:v>
                </c:pt>
                <c:pt idx="5">
                  <c:v>18414</c:v>
                </c:pt>
                <c:pt idx="6">
                  <c:v>9622</c:v>
                </c:pt>
                <c:pt idx="7">
                  <c:v>7653</c:v>
                </c:pt>
                <c:pt idx="8">
                  <c:v>30442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2E-4A49-888E-43A4FE623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0058752"/>
        <c:axId val="360060464"/>
      </c:barChart>
      <c:catAx>
        <c:axId val="36005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060464"/>
        <c:crosses val="autoZero"/>
        <c:auto val="1"/>
        <c:lblAlgn val="ctr"/>
        <c:lblOffset val="100"/>
        <c:noMultiLvlLbl val="0"/>
      </c:catAx>
      <c:valAx>
        <c:axId val="36006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05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Inventory</a:t>
            </a:r>
            <a:r>
              <a:rPr lang="en-US" baseline="0"/>
              <a:t> Left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Analysis!$D$13:$D$22</c:f>
              <c:strCache>
                <c:ptCount val="9"/>
                <c:pt idx="0">
                  <c:v>Adidas Joggers</c:v>
                </c:pt>
                <c:pt idx="1">
                  <c:v>Adidas Sneakers</c:v>
                </c:pt>
                <c:pt idx="2">
                  <c:v>Brooks Running</c:v>
                </c:pt>
                <c:pt idx="3">
                  <c:v>Dumbbell Set</c:v>
                </c:pt>
                <c:pt idx="4">
                  <c:v>Kettlebell</c:v>
                </c:pt>
                <c:pt idx="5">
                  <c:v>Nike Running</c:v>
                </c:pt>
                <c:pt idx="6">
                  <c:v>Nike Shorts</c:v>
                </c:pt>
                <c:pt idx="7">
                  <c:v>Under Armour Hoodie</c:v>
                </c:pt>
                <c:pt idx="8">
                  <c:v>Yoga Mat</c:v>
                </c:pt>
              </c:strCache>
            </c:strRef>
          </c:cat>
          <c:val>
            <c:numRef>
              <c:f>Analysis!$E$13:$E$22</c:f>
              <c:numCache>
                <c:formatCode>General</c:formatCode>
                <c:ptCount val="9"/>
                <c:pt idx="0">
                  <c:v>125</c:v>
                </c:pt>
                <c:pt idx="1">
                  <c:v>92</c:v>
                </c:pt>
                <c:pt idx="2">
                  <c:v>138</c:v>
                </c:pt>
                <c:pt idx="3">
                  <c:v>118</c:v>
                </c:pt>
                <c:pt idx="4">
                  <c:v>69</c:v>
                </c:pt>
                <c:pt idx="5">
                  <c:v>84</c:v>
                </c:pt>
                <c:pt idx="6">
                  <c:v>85</c:v>
                </c:pt>
                <c:pt idx="7">
                  <c:v>72</c:v>
                </c:pt>
                <c:pt idx="8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12-1441-9ACD-AA9992D39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2385984"/>
        <c:axId val="402387696"/>
      </c:barChart>
      <c:catAx>
        <c:axId val="40238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387696"/>
        <c:crosses val="autoZero"/>
        <c:auto val="1"/>
        <c:lblAlgn val="ctr"/>
        <c:lblOffset val="100"/>
        <c:noMultiLvlLbl val="0"/>
      </c:catAx>
      <c:valAx>
        <c:axId val="40238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385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[Book1.xlsx]Analysis!PivotTable6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Analysis!$G$1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Analysis!$F$2:$F$43</c:f>
              <c:multiLvlStrCache>
                <c:ptCount val="23"/>
                <c:lvl>
                  <c:pt idx="0">
                    <c:v>Clearwater</c:v>
                  </c:pt>
                  <c:pt idx="1">
                    <c:v>St. Petersburg</c:v>
                  </c:pt>
                  <c:pt idx="2">
                    <c:v>Tampa</c:v>
                  </c:pt>
                  <c:pt idx="3">
                    <c:v>Clearwater</c:v>
                  </c:pt>
                  <c:pt idx="4">
                    <c:v>St. Petersburg</c:v>
                  </c:pt>
                  <c:pt idx="5">
                    <c:v>Tampa</c:v>
                  </c:pt>
                  <c:pt idx="6">
                    <c:v>Clearwater</c:v>
                  </c:pt>
                  <c:pt idx="7">
                    <c:v>Tampa</c:v>
                  </c:pt>
                  <c:pt idx="8">
                    <c:v>Clearwater</c:v>
                  </c:pt>
                  <c:pt idx="9">
                    <c:v>St. Petersburg</c:v>
                  </c:pt>
                  <c:pt idx="10">
                    <c:v>Tampa</c:v>
                  </c:pt>
                  <c:pt idx="11">
                    <c:v>Clearwater</c:v>
                  </c:pt>
                  <c:pt idx="12">
                    <c:v>St. Petersburg</c:v>
                  </c:pt>
                  <c:pt idx="13">
                    <c:v>Tampa</c:v>
                  </c:pt>
                  <c:pt idx="14">
                    <c:v>Clearwater</c:v>
                  </c:pt>
                  <c:pt idx="15">
                    <c:v>St. Petersburg</c:v>
                  </c:pt>
                  <c:pt idx="16">
                    <c:v>Tampa</c:v>
                  </c:pt>
                  <c:pt idx="17">
                    <c:v>Clearwater</c:v>
                  </c:pt>
                  <c:pt idx="18">
                    <c:v>Tampa</c:v>
                  </c:pt>
                  <c:pt idx="19">
                    <c:v>Clearwater</c:v>
                  </c:pt>
                  <c:pt idx="20">
                    <c:v>St. Petersburg</c:v>
                  </c:pt>
                  <c:pt idx="21">
                    <c:v>Clearwater</c:v>
                  </c:pt>
                  <c:pt idx="22">
                    <c:v>St. Petersburg</c:v>
                  </c:pt>
                </c:lvl>
                <c:lvl>
                  <c:pt idx="0">
                    <c:v>Apparel</c:v>
                  </c:pt>
                  <c:pt idx="3">
                    <c:v>Footwear</c:v>
                  </c:pt>
                  <c:pt idx="6">
                    <c:v>Footwear</c:v>
                  </c:pt>
                  <c:pt idx="8">
                    <c:v>Equipment</c:v>
                  </c:pt>
                  <c:pt idx="11">
                    <c:v>Equipment</c:v>
                  </c:pt>
                  <c:pt idx="14">
                    <c:v>Footwear</c:v>
                  </c:pt>
                  <c:pt idx="17">
                    <c:v>Apparel</c:v>
                  </c:pt>
                  <c:pt idx="19">
                    <c:v>Apparel</c:v>
                  </c:pt>
                  <c:pt idx="21">
                    <c:v>Equipment</c:v>
                  </c:pt>
                </c:lvl>
                <c:lvl>
                  <c:pt idx="0">
                    <c:v>Adidas Joggers</c:v>
                  </c:pt>
                  <c:pt idx="3">
                    <c:v>Adidas Sneakers</c:v>
                  </c:pt>
                  <c:pt idx="6">
                    <c:v>Brooks Running</c:v>
                  </c:pt>
                  <c:pt idx="8">
                    <c:v>Dumbbell Set</c:v>
                  </c:pt>
                  <c:pt idx="11">
                    <c:v>Kettlebell</c:v>
                  </c:pt>
                  <c:pt idx="14">
                    <c:v>Nike Running</c:v>
                  </c:pt>
                  <c:pt idx="17">
                    <c:v>Nike Shorts</c:v>
                  </c:pt>
                  <c:pt idx="19">
                    <c:v>Under Armour Hoodie</c:v>
                  </c:pt>
                  <c:pt idx="21">
                    <c:v>Yoga Mat</c:v>
                  </c:pt>
                </c:lvl>
              </c:multiLvlStrCache>
            </c:multiLvlStrRef>
          </c:cat>
          <c:val>
            <c:numRef>
              <c:f>Analysis!$G$2:$G$43</c:f>
              <c:numCache>
                <c:formatCode>"$"#,##0.00</c:formatCode>
                <c:ptCount val="23"/>
                <c:pt idx="0">
                  <c:v>4524</c:v>
                </c:pt>
                <c:pt idx="1">
                  <c:v>12595</c:v>
                </c:pt>
                <c:pt idx="2">
                  <c:v>1909</c:v>
                </c:pt>
                <c:pt idx="3">
                  <c:v>24722</c:v>
                </c:pt>
                <c:pt idx="4">
                  <c:v>6811</c:v>
                </c:pt>
                <c:pt idx="5">
                  <c:v>2920</c:v>
                </c:pt>
                <c:pt idx="6">
                  <c:v>26686</c:v>
                </c:pt>
                <c:pt idx="7">
                  <c:v>29341</c:v>
                </c:pt>
                <c:pt idx="8">
                  <c:v>19921</c:v>
                </c:pt>
                <c:pt idx="9">
                  <c:v>13688</c:v>
                </c:pt>
                <c:pt idx="10">
                  <c:v>6532</c:v>
                </c:pt>
                <c:pt idx="11">
                  <c:v>15252</c:v>
                </c:pt>
                <c:pt idx="12">
                  <c:v>10502</c:v>
                </c:pt>
                <c:pt idx="13">
                  <c:v>13369</c:v>
                </c:pt>
                <c:pt idx="14">
                  <c:v>8640</c:v>
                </c:pt>
                <c:pt idx="15">
                  <c:v>1632</c:v>
                </c:pt>
                <c:pt idx="16">
                  <c:v>8142</c:v>
                </c:pt>
                <c:pt idx="17">
                  <c:v>3578</c:v>
                </c:pt>
                <c:pt idx="18">
                  <c:v>6044</c:v>
                </c:pt>
                <c:pt idx="19">
                  <c:v>2616</c:v>
                </c:pt>
                <c:pt idx="20">
                  <c:v>5037</c:v>
                </c:pt>
                <c:pt idx="21">
                  <c:v>20278</c:v>
                </c:pt>
                <c:pt idx="22">
                  <c:v>10164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11-6046-A979-8072DB1BFA98}"/>
            </c:ext>
          </c:extLst>
        </c:ser>
        <c:ser>
          <c:idx val="1"/>
          <c:order val="1"/>
          <c:tx>
            <c:strRef>
              <c:f>Analysis!$H$1</c:f>
              <c:strCache>
                <c:ptCount val="1"/>
                <c:pt idx="0">
                  <c:v>Sum of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Analysis!$F$2:$F$43</c:f>
              <c:multiLvlStrCache>
                <c:ptCount val="23"/>
                <c:lvl>
                  <c:pt idx="0">
                    <c:v>Clearwater</c:v>
                  </c:pt>
                  <c:pt idx="1">
                    <c:v>St. Petersburg</c:v>
                  </c:pt>
                  <c:pt idx="2">
                    <c:v>Tampa</c:v>
                  </c:pt>
                  <c:pt idx="3">
                    <c:v>Clearwater</c:v>
                  </c:pt>
                  <c:pt idx="4">
                    <c:v>St. Petersburg</c:v>
                  </c:pt>
                  <c:pt idx="5">
                    <c:v>Tampa</c:v>
                  </c:pt>
                  <c:pt idx="6">
                    <c:v>Clearwater</c:v>
                  </c:pt>
                  <c:pt idx="7">
                    <c:v>Tampa</c:v>
                  </c:pt>
                  <c:pt idx="8">
                    <c:v>Clearwater</c:v>
                  </c:pt>
                  <c:pt idx="9">
                    <c:v>St. Petersburg</c:v>
                  </c:pt>
                  <c:pt idx="10">
                    <c:v>Tampa</c:v>
                  </c:pt>
                  <c:pt idx="11">
                    <c:v>Clearwater</c:v>
                  </c:pt>
                  <c:pt idx="12">
                    <c:v>St. Petersburg</c:v>
                  </c:pt>
                  <c:pt idx="13">
                    <c:v>Tampa</c:v>
                  </c:pt>
                  <c:pt idx="14">
                    <c:v>Clearwater</c:v>
                  </c:pt>
                  <c:pt idx="15">
                    <c:v>St. Petersburg</c:v>
                  </c:pt>
                  <c:pt idx="16">
                    <c:v>Tampa</c:v>
                  </c:pt>
                  <c:pt idx="17">
                    <c:v>Clearwater</c:v>
                  </c:pt>
                  <c:pt idx="18">
                    <c:v>Tampa</c:v>
                  </c:pt>
                  <c:pt idx="19">
                    <c:v>Clearwater</c:v>
                  </c:pt>
                  <c:pt idx="20">
                    <c:v>St. Petersburg</c:v>
                  </c:pt>
                  <c:pt idx="21">
                    <c:v>Clearwater</c:v>
                  </c:pt>
                  <c:pt idx="22">
                    <c:v>St. Petersburg</c:v>
                  </c:pt>
                </c:lvl>
                <c:lvl>
                  <c:pt idx="0">
                    <c:v>Apparel</c:v>
                  </c:pt>
                  <c:pt idx="3">
                    <c:v>Footwear</c:v>
                  </c:pt>
                  <c:pt idx="6">
                    <c:v>Footwear</c:v>
                  </c:pt>
                  <c:pt idx="8">
                    <c:v>Equipment</c:v>
                  </c:pt>
                  <c:pt idx="11">
                    <c:v>Equipment</c:v>
                  </c:pt>
                  <c:pt idx="14">
                    <c:v>Footwear</c:v>
                  </c:pt>
                  <c:pt idx="17">
                    <c:v>Apparel</c:v>
                  </c:pt>
                  <c:pt idx="19">
                    <c:v>Apparel</c:v>
                  </c:pt>
                  <c:pt idx="21">
                    <c:v>Equipment</c:v>
                  </c:pt>
                </c:lvl>
                <c:lvl>
                  <c:pt idx="0">
                    <c:v>Adidas Joggers</c:v>
                  </c:pt>
                  <c:pt idx="3">
                    <c:v>Adidas Sneakers</c:v>
                  </c:pt>
                  <c:pt idx="6">
                    <c:v>Brooks Running</c:v>
                  </c:pt>
                  <c:pt idx="8">
                    <c:v>Dumbbell Set</c:v>
                  </c:pt>
                  <c:pt idx="11">
                    <c:v>Kettlebell</c:v>
                  </c:pt>
                  <c:pt idx="14">
                    <c:v>Nike Running</c:v>
                  </c:pt>
                  <c:pt idx="17">
                    <c:v>Nike Shorts</c:v>
                  </c:pt>
                  <c:pt idx="19">
                    <c:v>Under Armour Hoodie</c:v>
                  </c:pt>
                  <c:pt idx="21">
                    <c:v>Yoga Mat</c:v>
                  </c:pt>
                </c:lvl>
              </c:multiLvlStrCache>
            </c:multiLvlStrRef>
          </c:cat>
          <c:val>
            <c:numRef>
              <c:f>Analysis!$H$2:$H$43</c:f>
              <c:numCache>
                <c:formatCode>"$"#,##0.00</c:formatCode>
                <c:ptCount val="23"/>
                <c:pt idx="0">
                  <c:v>2940.6</c:v>
                </c:pt>
                <c:pt idx="1">
                  <c:v>9565.93</c:v>
                </c:pt>
                <c:pt idx="2">
                  <c:v>1298.1199999999999</c:v>
                </c:pt>
                <c:pt idx="3">
                  <c:v>16650.599999999999</c:v>
                </c:pt>
                <c:pt idx="4">
                  <c:v>4427.1499999999996</c:v>
                </c:pt>
                <c:pt idx="5">
                  <c:v>1927.2</c:v>
                </c:pt>
                <c:pt idx="6">
                  <c:v>17998.52</c:v>
                </c:pt>
                <c:pt idx="7">
                  <c:v>20870.050000000003</c:v>
                </c:pt>
                <c:pt idx="8">
                  <c:v>14889.369999999999</c:v>
                </c:pt>
                <c:pt idx="9">
                  <c:v>10250.779999999999</c:v>
                </c:pt>
                <c:pt idx="10">
                  <c:v>4964.32</c:v>
                </c:pt>
                <c:pt idx="11">
                  <c:v>9151.2000000000007</c:v>
                </c:pt>
                <c:pt idx="12">
                  <c:v>7561.44</c:v>
                </c:pt>
                <c:pt idx="13">
                  <c:v>9042.91</c:v>
                </c:pt>
                <c:pt idx="14">
                  <c:v>5788.8</c:v>
                </c:pt>
                <c:pt idx="15">
                  <c:v>1044.48</c:v>
                </c:pt>
                <c:pt idx="16">
                  <c:v>5927.4</c:v>
                </c:pt>
                <c:pt idx="17">
                  <c:v>2347.34</c:v>
                </c:pt>
                <c:pt idx="18">
                  <c:v>4234.24</c:v>
                </c:pt>
                <c:pt idx="19">
                  <c:v>1839.33</c:v>
                </c:pt>
                <c:pt idx="20">
                  <c:v>3173.31</c:v>
                </c:pt>
                <c:pt idx="21">
                  <c:v>14110.240000000002</c:v>
                </c:pt>
                <c:pt idx="22">
                  <c:v>8029.56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11-6046-A979-8072DB1BFA98}"/>
            </c:ext>
          </c:extLst>
        </c:ser>
        <c:ser>
          <c:idx val="2"/>
          <c:order val="2"/>
          <c:tx>
            <c:strRef>
              <c:f>Analysis!$I$1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multiLvlStrRef>
              <c:f>Analysis!$F$2:$F$43</c:f>
              <c:multiLvlStrCache>
                <c:ptCount val="23"/>
                <c:lvl>
                  <c:pt idx="0">
                    <c:v>Clearwater</c:v>
                  </c:pt>
                  <c:pt idx="1">
                    <c:v>St. Petersburg</c:v>
                  </c:pt>
                  <c:pt idx="2">
                    <c:v>Tampa</c:v>
                  </c:pt>
                  <c:pt idx="3">
                    <c:v>Clearwater</c:v>
                  </c:pt>
                  <c:pt idx="4">
                    <c:v>St. Petersburg</c:v>
                  </c:pt>
                  <c:pt idx="5">
                    <c:v>Tampa</c:v>
                  </c:pt>
                  <c:pt idx="6">
                    <c:v>Clearwater</c:v>
                  </c:pt>
                  <c:pt idx="7">
                    <c:v>Tampa</c:v>
                  </c:pt>
                  <c:pt idx="8">
                    <c:v>Clearwater</c:v>
                  </c:pt>
                  <c:pt idx="9">
                    <c:v>St. Petersburg</c:v>
                  </c:pt>
                  <c:pt idx="10">
                    <c:v>Tampa</c:v>
                  </c:pt>
                  <c:pt idx="11">
                    <c:v>Clearwater</c:v>
                  </c:pt>
                  <c:pt idx="12">
                    <c:v>St. Petersburg</c:v>
                  </c:pt>
                  <c:pt idx="13">
                    <c:v>Tampa</c:v>
                  </c:pt>
                  <c:pt idx="14">
                    <c:v>Clearwater</c:v>
                  </c:pt>
                  <c:pt idx="15">
                    <c:v>St. Petersburg</c:v>
                  </c:pt>
                  <c:pt idx="16">
                    <c:v>Tampa</c:v>
                  </c:pt>
                  <c:pt idx="17">
                    <c:v>Clearwater</c:v>
                  </c:pt>
                  <c:pt idx="18">
                    <c:v>Tampa</c:v>
                  </c:pt>
                  <c:pt idx="19">
                    <c:v>Clearwater</c:v>
                  </c:pt>
                  <c:pt idx="20">
                    <c:v>St. Petersburg</c:v>
                  </c:pt>
                  <c:pt idx="21">
                    <c:v>Clearwater</c:v>
                  </c:pt>
                  <c:pt idx="22">
                    <c:v>St. Petersburg</c:v>
                  </c:pt>
                </c:lvl>
                <c:lvl>
                  <c:pt idx="0">
                    <c:v>Apparel</c:v>
                  </c:pt>
                  <c:pt idx="3">
                    <c:v>Footwear</c:v>
                  </c:pt>
                  <c:pt idx="6">
                    <c:v>Footwear</c:v>
                  </c:pt>
                  <c:pt idx="8">
                    <c:v>Equipment</c:v>
                  </c:pt>
                  <c:pt idx="11">
                    <c:v>Equipment</c:v>
                  </c:pt>
                  <c:pt idx="14">
                    <c:v>Footwear</c:v>
                  </c:pt>
                  <c:pt idx="17">
                    <c:v>Apparel</c:v>
                  </c:pt>
                  <c:pt idx="19">
                    <c:v>Apparel</c:v>
                  </c:pt>
                  <c:pt idx="21">
                    <c:v>Equipment</c:v>
                  </c:pt>
                </c:lvl>
                <c:lvl>
                  <c:pt idx="0">
                    <c:v>Adidas Joggers</c:v>
                  </c:pt>
                  <c:pt idx="3">
                    <c:v>Adidas Sneakers</c:v>
                  </c:pt>
                  <c:pt idx="6">
                    <c:v>Brooks Running</c:v>
                  </c:pt>
                  <c:pt idx="8">
                    <c:v>Dumbbell Set</c:v>
                  </c:pt>
                  <c:pt idx="11">
                    <c:v>Kettlebell</c:v>
                  </c:pt>
                  <c:pt idx="14">
                    <c:v>Nike Running</c:v>
                  </c:pt>
                  <c:pt idx="17">
                    <c:v>Nike Shorts</c:v>
                  </c:pt>
                  <c:pt idx="19">
                    <c:v>Under Armour Hoodie</c:v>
                  </c:pt>
                  <c:pt idx="21">
                    <c:v>Yoga Mat</c:v>
                  </c:pt>
                </c:lvl>
              </c:multiLvlStrCache>
            </c:multiLvlStrRef>
          </c:cat>
          <c:val>
            <c:numRef>
              <c:f>Analysis!$I$2:$I$43</c:f>
              <c:numCache>
                <c:formatCode>"$"#,##0.00</c:formatCode>
                <c:ptCount val="23"/>
                <c:pt idx="0">
                  <c:v>1583.4</c:v>
                </c:pt>
                <c:pt idx="1">
                  <c:v>3029.07</c:v>
                </c:pt>
                <c:pt idx="2">
                  <c:v>610.88000000000011</c:v>
                </c:pt>
                <c:pt idx="3">
                  <c:v>8071.4000000000005</c:v>
                </c:pt>
                <c:pt idx="4">
                  <c:v>2383.8500000000004</c:v>
                </c:pt>
                <c:pt idx="5">
                  <c:v>992.8</c:v>
                </c:pt>
                <c:pt idx="6">
                  <c:v>8687.48</c:v>
                </c:pt>
                <c:pt idx="7">
                  <c:v>8470.9499999999989</c:v>
                </c:pt>
                <c:pt idx="8">
                  <c:v>5031.63</c:v>
                </c:pt>
                <c:pt idx="9">
                  <c:v>3437.2200000000003</c:v>
                </c:pt>
                <c:pt idx="10">
                  <c:v>1567.6800000000003</c:v>
                </c:pt>
                <c:pt idx="11">
                  <c:v>6100.7999999999993</c:v>
                </c:pt>
                <c:pt idx="12">
                  <c:v>2940.5600000000004</c:v>
                </c:pt>
                <c:pt idx="13">
                  <c:v>4326.09</c:v>
                </c:pt>
                <c:pt idx="14">
                  <c:v>2851.2</c:v>
                </c:pt>
                <c:pt idx="15">
                  <c:v>587.52</c:v>
                </c:pt>
                <c:pt idx="16">
                  <c:v>2214.6</c:v>
                </c:pt>
                <c:pt idx="17">
                  <c:v>1230.6600000000001</c:v>
                </c:pt>
                <c:pt idx="18">
                  <c:v>1809.76</c:v>
                </c:pt>
                <c:pt idx="19">
                  <c:v>776.67</c:v>
                </c:pt>
                <c:pt idx="20">
                  <c:v>1863.69</c:v>
                </c:pt>
                <c:pt idx="21">
                  <c:v>6167.7599999999993</c:v>
                </c:pt>
                <c:pt idx="22">
                  <c:v>2134.4399999999996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11-6046-A979-8072DB1BF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02475056"/>
        <c:axId val="402476768"/>
        <c:axId val="0"/>
      </c:bar3DChart>
      <c:catAx>
        <c:axId val="40247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476768"/>
        <c:crosses val="autoZero"/>
        <c:auto val="1"/>
        <c:lblAlgn val="ctr"/>
        <c:lblOffset val="100"/>
        <c:noMultiLvlLbl val="0"/>
      </c:catAx>
      <c:valAx>
        <c:axId val="40247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47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[Book1.xlsx]Analysis!PivotTable7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</a:t>
            </a:r>
            <a:r>
              <a:rPr lang="en-US" baseline="0"/>
              <a:t>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Analysis!$B$23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Analysis!$A$24:$A$36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Analysis!$B$24:$B$36</c:f>
              <c:numCache>
                <c:formatCode>"$"#,##0.00</c:formatCode>
                <c:ptCount val="12"/>
                <c:pt idx="0">
                  <c:v>7109.4700000000012</c:v>
                </c:pt>
                <c:pt idx="1">
                  <c:v>14024.329999999998</c:v>
                </c:pt>
                <c:pt idx="2">
                  <c:v>8178.17</c:v>
                </c:pt>
                <c:pt idx="3">
                  <c:v>7940.6799999999994</c:v>
                </c:pt>
                <c:pt idx="4">
                  <c:v>3213.37</c:v>
                </c:pt>
                <c:pt idx="5">
                  <c:v>5414.1500000000005</c:v>
                </c:pt>
                <c:pt idx="6">
                  <c:v>3315.06</c:v>
                </c:pt>
                <c:pt idx="7">
                  <c:v>9910.35</c:v>
                </c:pt>
                <c:pt idx="8">
                  <c:v>6932.34</c:v>
                </c:pt>
                <c:pt idx="9">
                  <c:v>2797.17</c:v>
                </c:pt>
                <c:pt idx="10">
                  <c:v>3996.0000000000005</c:v>
                </c:pt>
                <c:pt idx="11">
                  <c:v>4039.0200000000004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BF-AF45-A739-88439B6F8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7124224"/>
        <c:axId val="377125936"/>
      </c:lineChart>
      <c:catAx>
        <c:axId val="37712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125936"/>
        <c:crosses val="autoZero"/>
        <c:auto val="1"/>
        <c:lblAlgn val="ctr"/>
        <c:lblOffset val="100"/>
        <c:noMultiLvlLbl val="0"/>
      </c:catAx>
      <c:valAx>
        <c:axId val="37712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124224"/>
        <c:crosses val="autoZero"/>
        <c:crossBetween val="between"/>
      </c:valAx>
      <c:spPr>
        <a:noFill/>
        <a:ln>
          <a:solidFill>
            <a:schemeClr val="accent3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AA899B-4755-664C-8A46-0B0A996D9F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9</xdr:col>
      <xdr:colOff>0</xdr:colOff>
      <xdr:row>36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D7DB99-FC4B-C44B-8C03-BCF99AEBD0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9</xdr:col>
      <xdr:colOff>0</xdr:colOff>
      <xdr:row>58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C07960-F8AF-704E-B3EF-7911FAA25A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18</xdr:col>
      <xdr:colOff>12700</xdr:colOff>
      <xdr:row>19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C42E93-4564-BB41-B215-27CA86C755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18</xdr:col>
      <xdr:colOff>25400</xdr:colOff>
      <xdr:row>37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B2EEF57-B114-A64B-B10A-552B5553F5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18</xdr:col>
      <xdr:colOff>25400</xdr:colOff>
      <xdr:row>56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C6E2F89-3D27-534D-8394-7ECE591AA3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ah Hebert" refreshedDate="46107.425496643518" createdVersion="8" refreshedVersion="8" minRefreshableVersion="3" recordCount="45" xr:uid="{B5F22E49-2FDF-254B-9B9D-6203277A09CF}">
  <cacheSource type="worksheet">
    <worksheetSource name="DataTable"/>
  </cacheSource>
  <cacheFields count="10">
    <cacheField name="Data" numFmtId="14">
      <sharedItems containsSemiMixedTypes="0" containsNonDate="0" containsDate="1" containsString="0" minDate="2025-01-01T00:00:00" maxDate="2026-02-02T00:00:00" count="14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</sharedItems>
      <fieldGroup par="9"/>
    </cacheField>
    <cacheField name="Store" numFmtId="0">
      <sharedItems count="3">
        <s v="Tampa"/>
        <s v="Clearwater"/>
        <s v="St. Petersburg"/>
      </sharedItems>
    </cacheField>
    <cacheField name="Category" numFmtId="0">
      <sharedItems count="3">
        <s v="Apparel"/>
        <s v="Equipment"/>
        <s v="Footwear"/>
      </sharedItems>
    </cacheField>
    <cacheField name="Product" numFmtId="0">
      <sharedItems count="9">
        <s v="Adidas Joggers"/>
        <s v="Kettlebell"/>
        <s v="Under Armour Hoodie"/>
        <s v="Nike Running"/>
        <s v="Yoga Mat"/>
        <s v="Nike Shorts"/>
        <s v="Adidas Sneakers"/>
        <s v="Brooks Running"/>
        <s v="Dumbbell Set"/>
      </sharedItems>
    </cacheField>
    <cacheField name="Units Sold" numFmtId="164">
      <sharedItems containsSemiMixedTypes="0" containsString="0" containsNumber="1" containsInteger="1" minValue="10" maxValue="98"/>
    </cacheField>
    <cacheField name="Revenue" numFmtId="164">
      <sharedItems containsSemiMixedTypes="0" containsString="0" containsNumber="1" containsInteger="1" minValue="638" maxValue="15252"/>
    </cacheField>
    <cacheField name="Cost" numFmtId="164">
      <sharedItems containsSemiMixedTypes="0" containsString="0" containsNumber="1" minValue="465.74" maxValue="10179.120000000001"/>
    </cacheField>
    <cacheField name="Profit" numFmtId="164">
      <sharedItems containsSemiMixedTypes="0" containsString="0" containsNumber="1" minValue="172.26" maxValue="6100.7999999999993"/>
    </cacheField>
    <cacheField name="Inventory " numFmtId="0">
      <sharedItems containsSemiMixedTypes="0" containsString="0" containsNumber="1" containsInteger="1" minValue="0" maxValue="40"/>
    </cacheField>
    <cacheField name="Months (Data)" numFmtId="0" databaseField="0">
      <fieldGroup base="0">
        <rangePr groupBy="months" startDate="2025-01-01T00:00:00" endDate="2026-02-02T00:00:00"/>
        <groupItems count="14">
          <s v="&lt;1/1/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2/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x v="0"/>
    <x v="0"/>
    <x v="0"/>
    <n v="83"/>
    <n v="1909"/>
    <n v="1298.1199999999999"/>
    <n v="610.88000000000011"/>
    <n v="34"/>
  </r>
  <r>
    <x v="0"/>
    <x v="0"/>
    <x v="1"/>
    <x v="1"/>
    <n v="23"/>
    <n v="3427"/>
    <n v="2296.09"/>
    <n v="1130.9099999999999"/>
    <n v="25"/>
  </r>
  <r>
    <x v="0"/>
    <x v="1"/>
    <x v="0"/>
    <x v="2"/>
    <n v="15"/>
    <n v="1125"/>
    <n v="900"/>
    <n v="225"/>
    <n v="7"/>
  </r>
  <r>
    <x v="1"/>
    <x v="1"/>
    <x v="2"/>
    <x v="3"/>
    <n v="64"/>
    <n v="8640"/>
    <n v="5788.8"/>
    <n v="2851.2"/>
    <n v="39"/>
  </r>
  <r>
    <x v="1"/>
    <x v="2"/>
    <x v="0"/>
    <x v="2"/>
    <n v="69"/>
    <n v="5037"/>
    <n v="3173.31"/>
    <n v="1863.69"/>
    <n v="35"/>
  </r>
  <r>
    <x v="1"/>
    <x v="1"/>
    <x v="1"/>
    <x v="4"/>
    <n v="97"/>
    <n v="10282"/>
    <n v="6991.76"/>
    <n v="3290.24"/>
    <n v="27"/>
  </r>
  <r>
    <x v="2"/>
    <x v="0"/>
    <x v="0"/>
    <x v="5"/>
    <n v="16"/>
    <n v="864"/>
    <n v="527.04"/>
    <n v="336.96000000000004"/>
    <n v="24"/>
  </r>
  <r>
    <x v="2"/>
    <x v="1"/>
    <x v="0"/>
    <x v="0"/>
    <n v="78"/>
    <n v="4524"/>
    <n v="2940.6"/>
    <n v="1583.4"/>
    <n v="8"/>
  </r>
  <r>
    <x v="2"/>
    <x v="0"/>
    <x v="1"/>
    <x v="1"/>
    <n v="69"/>
    <n v="5658"/>
    <n v="3790.86"/>
    <n v="1867.1399999999999"/>
    <n v="16"/>
  </r>
  <r>
    <x v="3"/>
    <x v="0"/>
    <x v="2"/>
    <x v="6"/>
    <n v="20"/>
    <n v="2920"/>
    <n v="1927.2"/>
    <n v="992.8"/>
    <n v="36"/>
  </r>
  <r>
    <x v="3"/>
    <x v="0"/>
    <x v="2"/>
    <x v="3"/>
    <n v="18"/>
    <n v="3258"/>
    <n v="2410.92"/>
    <n v="847.07999999999993"/>
    <n v="16"/>
  </r>
  <r>
    <x v="3"/>
    <x v="1"/>
    <x v="1"/>
    <x v="1"/>
    <n v="82"/>
    <n v="15252"/>
    <n v="9151.2000000000007"/>
    <n v="6100.7999999999993"/>
    <n v="21"/>
  </r>
  <r>
    <x v="4"/>
    <x v="2"/>
    <x v="1"/>
    <x v="4"/>
    <n v="77"/>
    <n v="10164"/>
    <n v="8029.56"/>
    <n v="2134.4399999999996"/>
    <n v="13"/>
  </r>
  <r>
    <x v="4"/>
    <x v="2"/>
    <x v="0"/>
    <x v="0"/>
    <n v="75"/>
    <n v="1725"/>
    <n v="1190.25"/>
    <n v="534.75"/>
    <n v="11"/>
  </r>
  <r>
    <x v="4"/>
    <x v="0"/>
    <x v="0"/>
    <x v="5"/>
    <n v="91"/>
    <n v="2366"/>
    <n v="1821.82"/>
    <n v="544.18000000000006"/>
    <n v="1"/>
  </r>
  <r>
    <x v="5"/>
    <x v="1"/>
    <x v="0"/>
    <x v="2"/>
    <n v="71"/>
    <n v="1491"/>
    <n v="939.33"/>
    <n v="551.66999999999996"/>
    <n v="30"/>
  </r>
  <r>
    <x v="5"/>
    <x v="2"/>
    <x v="1"/>
    <x v="1"/>
    <n v="89"/>
    <n v="10502"/>
    <n v="7561.44"/>
    <n v="2940.5600000000004"/>
    <n v="1"/>
  </r>
  <r>
    <x v="5"/>
    <x v="2"/>
    <x v="0"/>
    <x v="0"/>
    <n v="91"/>
    <n v="8008"/>
    <n v="6086.08"/>
    <n v="1921.92"/>
    <n v="39"/>
  </r>
  <r>
    <x v="6"/>
    <x v="0"/>
    <x v="0"/>
    <x v="5"/>
    <n v="67"/>
    <n v="2814"/>
    <n v="1885.38"/>
    <n v="928.61999999999989"/>
    <n v="19"/>
  </r>
  <r>
    <x v="6"/>
    <x v="0"/>
    <x v="1"/>
    <x v="1"/>
    <n v="51"/>
    <n v="4284"/>
    <n v="2955.96"/>
    <n v="1328.04"/>
    <n v="6"/>
  </r>
  <r>
    <x v="6"/>
    <x v="1"/>
    <x v="0"/>
    <x v="5"/>
    <n v="84"/>
    <n v="2940"/>
    <n v="1881.6"/>
    <n v="1058.4000000000001"/>
    <n v="20"/>
  </r>
  <r>
    <x v="7"/>
    <x v="1"/>
    <x v="1"/>
    <x v="4"/>
    <n v="47"/>
    <n v="8930"/>
    <n v="6340.3"/>
    <n v="2589.6999999999998"/>
    <n v="38"/>
  </r>
  <r>
    <x v="7"/>
    <x v="2"/>
    <x v="2"/>
    <x v="6"/>
    <n v="49"/>
    <n v="6811"/>
    <n v="4427.1499999999996"/>
    <n v="2383.8500000000004"/>
    <n v="9"/>
  </r>
  <r>
    <x v="7"/>
    <x v="1"/>
    <x v="2"/>
    <x v="7"/>
    <n v="66"/>
    <n v="12342"/>
    <n v="7405.2"/>
    <n v="4936.8"/>
    <n v="6"/>
  </r>
  <r>
    <x v="8"/>
    <x v="1"/>
    <x v="2"/>
    <x v="6"/>
    <n v="72"/>
    <n v="11520"/>
    <n v="8524.7999999999993"/>
    <n v="2995.2000000000007"/>
    <n v="17"/>
  </r>
  <r>
    <x v="8"/>
    <x v="0"/>
    <x v="2"/>
    <x v="7"/>
    <n v="84"/>
    <n v="13944"/>
    <n v="10179.120000000001"/>
    <n v="3764.8799999999992"/>
    <n v="40"/>
  </r>
  <r>
    <x v="8"/>
    <x v="1"/>
    <x v="0"/>
    <x v="5"/>
    <n v="22"/>
    <n v="638"/>
    <n v="465.74"/>
    <n v="172.26"/>
    <n v="21"/>
  </r>
  <r>
    <x v="9"/>
    <x v="1"/>
    <x v="1"/>
    <x v="4"/>
    <n v="13"/>
    <n v="1066"/>
    <n v="778.18"/>
    <n v="287.82000000000005"/>
    <n v="5"/>
  </r>
  <r>
    <x v="9"/>
    <x v="1"/>
    <x v="1"/>
    <x v="8"/>
    <n v="47"/>
    <n v="6627"/>
    <n v="4705.17"/>
    <n v="1921.83"/>
    <n v="18"/>
  </r>
  <r>
    <x v="9"/>
    <x v="2"/>
    <x v="2"/>
    <x v="3"/>
    <n v="24"/>
    <n v="1632"/>
    <n v="1044.48"/>
    <n v="587.52"/>
    <n v="4"/>
  </r>
  <r>
    <x v="10"/>
    <x v="2"/>
    <x v="1"/>
    <x v="8"/>
    <n v="79"/>
    <n v="6083"/>
    <n v="4623.08"/>
    <n v="1459.92"/>
    <n v="19"/>
  </r>
  <r>
    <x v="10"/>
    <x v="0"/>
    <x v="2"/>
    <x v="7"/>
    <n v="10"/>
    <n v="830"/>
    <n v="514.6"/>
    <n v="315.39999999999998"/>
    <n v="0"/>
  </r>
  <r>
    <x v="10"/>
    <x v="1"/>
    <x v="2"/>
    <x v="7"/>
    <n v="98"/>
    <n v="10094"/>
    <n v="7873.32"/>
    <n v="2220.6800000000003"/>
    <n v="15"/>
  </r>
  <r>
    <x v="11"/>
    <x v="1"/>
    <x v="1"/>
    <x v="8"/>
    <n v="89"/>
    <n v="2314"/>
    <n v="1619.8"/>
    <n v="694.2"/>
    <n v="24"/>
  </r>
  <r>
    <x v="11"/>
    <x v="0"/>
    <x v="2"/>
    <x v="3"/>
    <n v="66"/>
    <n v="4884"/>
    <n v="3516.48"/>
    <n v="1367.52"/>
    <n v="25"/>
  </r>
  <r>
    <x v="11"/>
    <x v="2"/>
    <x v="1"/>
    <x v="8"/>
    <n v="45"/>
    <n v="7605"/>
    <n v="5627.7"/>
    <n v="1977.3000000000002"/>
    <n v="22"/>
  </r>
  <r>
    <x v="12"/>
    <x v="1"/>
    <x v="1"/>
    <x v="8"/>
    <n v="61"/>
    <n v="10980"/>
    <n v="8564.4"/>
    <n v="2415.6000000000004"/>
    <n v="34"/>
  </r>
  <r>
    <x v="12"/>
    <x v="0"/>
    <x v="1"/>
    <x v="8"/>
    <n v="71"/>
    <n v="6532"/>
    <n v="4964.32"/>
    <n v="1567.6800000000003"/>
    <n v="1"/>
  </r>
  <r>
    <x v="12"/>
    <x v="1"/>
    <x v="2"/>
    <x v="6"/>
    <n v="31"/>
    <n v="3410"/>
    <n v="2250.6"/>
    <n v="1159.4000000000001"/>
    <n v="11"/>
  </r>
  <r>
    <x v="13"/>
    <x v="1"/>
    <x v="2"/>
    <x v="7"/>
    <n v="85"/>
    <n v="4250"/>
    <n v="2720"/>
    <n v="1530"/>
    <n v="33"/>
  </r>
  <r>
    <x v="13"/>
    <x v="2"/>
    <x v="0"/>
    <x v="0"/>
    <n v="54"/>
    <n v="2862"/>
    <n v="2289.6"/>
    <n v="572.40000000000009"/>
    <n v="33"/>
  </r>
  <r>
    <x v="13"/>
    <x v="1"/>
    <x v="2"/>
    <x v="6"/>
    <n v="96"/>
    <n v="9792"/>
    <n v="5875.2"/>
    <n v="3916.8"/>
    <n v="19"/>
  </r>
  <r>
    <x v="2"/>
    <x v="0"/>
    <x v="2"/>
    <x v="7"/>
    <n v="65"/>
    <n v="6955"/>
    <n v="4938.05"/>
    <n v="2016.9499999999998"/>
    <n v="13"/>
  </r>
  <r>
    <x v="2"/>
    <x v="0"/>
    <x v="2"/>
    <x v="7"/>
    <n v="85"/>
    <n v="6460"/>
    <n v="4328.2"/>
    <n v="2131.8000000000002"/>
    <n v="23"/>
  </r>
  <r>
    <x v="2"/>
    <x v="0"/>
    <x v="2"/>
    <x v="7"/>
    <n v="18"/>
    <n v="1152"/>
    <n v="910.08"/>
    <n v="241.91999999999996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5B63B3-26F1-754B-AF7E-8C38647D682D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12:E22" firstHeaderRow="1" firstDataRow="1" firstDataCol="1"/>
  <pivotFields count="10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10">
        <item x="0"/>
        <item x="6"/>
        <item x="7"/>
        <item x="8"/>
        <item x="1"/>
        <item x="3"/>
        <item x="5"/>
        <item x="2"/>
        <item x="4"/>
        <item t="default"/>
      </items>
    </pivotField>
    <pivotField numFmtId="164" showAll="0"/>
    <pivotField numFmtId="164" showAll="0"/>
    <pivotField numFmtId="164" showAll="0"/>
    <pivotField numFmtId="164" showAll="0"/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Inventory 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3BE74F-59F3-3B4C-9049-382A55B34501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1:E11" firstHeaderRow="1" firstDataRow="1" firstDataCol="1"/>
  <pivotFields count="10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10">
        <item x="0"/>
        <item x="6"/>
        <item x="7"/>
        <item x="8"/>
        <item x="1"/>
        <item x="3"/>
        <item x="5"/>
        <item x="2"/>
        <item x="4"/>
        <item t="default"/>
      </items>
    </pivotField>
    <pivotField numFmtId="164" showAll="0"/>
    <pivotField dataField="1" numFmtId="164" showAll="0"/>
    <pivotField numFmtId="164" showAll="0"/>
    <pivotField numFmtId="164"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Revenue" fld="5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36E8F8-5B46-EA47-8C33-ED49E4730735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5:B19" firstHeaderRow="1" firstDataRow="1" firstDataCol="1"/>
  <pivotFields count="10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164" showAll="0"/>
    <pivotField dataField="1" numFmtId="164" showAll="0"/>
    <pivotField numFmtId="164" showAll="0"/>
    <pivotField numFmtId="164"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5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A4EB02-5A06-0649-8287-09F9A58C9910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14" firstHeaderRow="1" firstDataRow="1" firstDataCol="1"/>
  <pivotFields count="10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numFmtId="164" showAll="0"/>
    <pivotField dataField="1" numFmtId="164" showAll="0"/>
    <pivotField numFmtId="164" showAll="0"/>
    <pivotField numFmtId="164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5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BC5B2-FA94-E548-9760-53DE2CD4321A}" name="PivotTable7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3:B36" firstHeaderRow="1" firstDataRow="1" firstDataCol="1"/>
  <pivotFields count="10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dataField="1" numFmtId="164"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Profit" fld="7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DD3267-337C-204A-8065-527795FC9631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1:I43" firstHeaderRow="0" firstDataRow="1" firstDataCol="1"/>
  <pivotFields count="10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1"/>
        <item x="2"/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10">
        <item x="0"/>
        <item x="6"/>
        <item x="7"/>
        <item x="8"/>
        <item x="1"/>
        <item x="3"/>
        <item x="5"/>
        <item x="2"/>
        <item x="4"/>
        <item t="default"/>
      </items>
    </pivotField>
    <pivotField numFmtId="164" showAll="0"/>
    <pivotField dataField="1" numFmtId="164" showAll="0"/>
    <pivotField dataField="1" numFmtId="164" showAll="0"/>
    <pivotField dataField="1" numFmtId="164"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3">
    <field x="3"/>
    <field x="2"/>
    <field x="1"/>
  </rowFields>
  <rowItems count="42">
    <i>
      <x/>
    </i>
    <i r="1">
      <x/>
    </i>
    <i r="2">
      <x/>
    </i>
    <i r="2">
      <x v="1"/>
    </i>
    <i r="2">
      <x v="2"/>
    </i>
    <i>
      <x v="1"/>
    </i>
    <i r="1">
      <x v="2"/>
    </i>
    <i r="2">
      <x/>
    </i>
    <i r="2">
      <x v="1"/>
    </i>
    <i r="2">
      <x v="2"/>
    </i>
    <i>
      <x v="2"/>
    </i>
    <i r="1">
      <x v="2"/>
    </i>
    <i r="2">
      <x/>
    </i>
    <i r="2">
      <x v="2"/>
    </i>
    <i>
      <x v="3"/>
    </i>
    <i r="1">
      <x v="1"/>
    </i>
    <i r="2">
      <x/>
    </i>
    <i r="2">
      <x v="1"/>
    </i>
    <i r="2">
      <x v="2"/>
    </i>
    <i>
      <x v="4"/>
    </i>
    <i r="1">
      <x v="1"/>
    </i>
    <i r="2">
      <x/>
    </i>
    <i r="2">
      <x v="1"/>
    </i>
    <i r="2">
      <x v="2"/>
    </i>
    <i>
      <x v="5"/>
    </i>
    <i r="1">
      <x v="2"/>
    </i>
    <i r="2">
      <x/>
    </i>
    <i r="2">
      <x v="1"/>
    </i>
    <i r="2">
      <x v="2"/>
    </i>
    <i>
      <x v="6"/>
    </i>
    <i r="1">
      <x/>
    </i>
    <i r="2">
      <x/>
    </i>
    <i r="2">
      <x v="2"/>
    </i>
    <i>
      <x v="7"/>
    </i>
    <i r="1">
      <x/>
    </i>
    <i r="2">
      <x/>
    </i>
    <i r="2">
      <x v="1"/>
    </i>
    <i>
      <x v="8"/>
    </i>
    <i r="1">
      <x v="1"/>
    </i>
    <i r="2">
      <x/>
    </i>
    <i r="2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5" baseField="0" baseItem="0" numFmtId="164"/>
    <dataField name="Sum of Cost" fld="6" baseField="0" baseItem="0" numFmtId="164"/>
    <dataField name="Sum of Profit" fld="7" baseField="0" baseItem="0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56C111-8DD4-B24E-AF59-5D9AA9567232}" name="DataTable" displayName="DataTable" ref="A1:I46" totalsRowShown="0">
  <autoFilter ref="A1:I46" xr:uid="{AE56C111-8DD4-B24E-AF59-5D9AA9567232}"/>
  <tableColumns count="9">
    <tableColumn id="1" xr3:uid="{5B156343-4AE1-3F43-A8C6-73D07CBA150B}" name="Data" dataDxfId="4"/>
    <tableColumn id="2" xr3:uid="{46072C13-38DC-194C-AE88-D7992962BE79}" name="Store">
      <calculatedColumnFormula array="1">INDEX(Reference_Table!$A$1:$A$3,RANDBETWEEN(1,3))</calculatedColumnFormula>
    </tableColumn>
    <tableColumn id="3" xr3:uid="{F8D9A2C4-59E5-B946-AEE7-74EFD5022147}" name="Category">
      <calculatedColumnFormula array="1">INDEX(Reference_Table!$B$1:$B$3,RANDBETWEEN(1,3))</calculatedColumnFormula>
    </tableColumn>
    <tableColumn id="4" xr3:uid="{5C370B4E-63DE-D542-A38E-B63253D5A93C}" name="Product">
      <calculatedColumnFormula array="1">IF(C2="Footwear",INDEX(Reference_Table!$C$1:$C$3,RANDBETWEEN(1,3)),
IF(C2="Apparel",INDEX(Reference_Table!$D$1:$D$3,RANDBETWEEN(1,3)),
INDEX(Reference_Table!$E$1:$E$3,RANDBETWEEN(1,3))))</calculatedColumnFormula>
    </tableColumn>
    <tableColumn id="5" xr3:uid="{D46ED526-5714-2A47-BB57-E33C5CBBF985}" name="Units Sold" dataDxfId="3">
      <calculatedColumnFormula>RANDBETWEEN(5,100)</calculatedColumnFormula>
    </tableColumn>
    <tableColumn id="6" xr3:uid="{0BE56F93-8D6C-4E4F-B5B1-3C4E4007BDB6}" name="Revenue" dataDxfId="2">
      <calculatedColumnFormula>IF(C2="Footwear",E2*RANDBETWEEN(50,200),
IF(C2="Apparel",E2*RANDBETWEEN(20,100),
E2*RANDBETWEEN(20,200)))</calculatedColumnFormula>
    </tableColumn>
    <tableColumn id="7" xr3:uid="{D5EF1E92-F6B1-8A41-9751-EBBCA07E960A}" name="Cost" dataDxfId="1">
      <calculatedColumnFormula>F2*RANDBETWEEN(60,80)/100</calculatedColumnFormula>
    </tableColumn>
    <tableColumn id="8" xr3:uid="{C7263E69-9FD4-6B44-8C38-312220986DE2}" name="Profit" dataDxfId="0">
      <calculatedColumnFormula>F2-G2</calculatedColumnFormula>
    </tableColumn>
    <tableColumn id="9" xr3:uid="{3BA29327-0FBE-004A-A61A-272472691051}" name="Inventory ">
      <calculatedColumnFormula>RANDBETWEEN(0,40)</calculatedColumnFormula>
    </tableColumn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62EE5-CABE-4B4D-A581-554BA384D4AE}">
  <dimension ref="A1:Q46"/>
  <sheetViews>
    <sheetView tabSelected="1" zoomScale="68" workbookViewId="0"/>
  </sheetViews>
  <sheetFormatPr baseColWidth="10" defaultRowHeight="16" x14ac:dyDescent="0.2"/>
  <cols>
    <col min="5" max="5" width="11.5" style="2" customWidth="1"/>
    <col min="6" max="6" width="10.83203125" style="2"/>
    <col min="9" max="9" width="11.332031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</row>
    <row r="2" spans="1:17" x14ac:dyDescent="0.2">
      <c r="A2" s="1">
        <v>45658</v>
      </c>
      <c r="B2" t="str" cm="1">
        <f t="array" aca="1" ref="B2" ca="1">INDEX(Reference_Table!$A$1:$A$3,RANDBETWEEN(1,3))</f>
        <v>Tampa</v>
      </c>
      <c r="C2" t="str" cm="1">
        <f t="array" aca="1" ref="C2" ca="1">INDEX(Reference_Table!$B$1:$B$3,RANDBETWEEN(1,3))</f>
        <v>Apparel</v>
      </c>
      <c r="D2" t="str" cm="1">
        <f t="array" aca="1" ref="D2" ca="1">IF(C2="Footwear",INDEX(Reference_Table!$C$1:$C$3,RANDBETWEEN(1,3)),
IF(C2="Apparel",INDEX(Reference_Table!$D$1:$D$3,RANDBETWEEN(1,3)),
INDEX(Reference_Table!$E$1:$E$3,RANDBETWEEN(1,3))))</f>
        <v>Nike Shorts</v>
      </c>
      <c r="E2" s="2">
        <f ca="1">RANDBETWEEN(5,100)</f>
        <v>76</v>
      </c>
      <c r="F2" s="2">
        <f ca="1">IF(C2="Footwear",E2*RANDBETWEEN(50,200),
IF(C2="Apparel",E2*RANDBETWEEN(20,100),
E2*RANDBETWEEN(20,200)))</f>
        <v>6612</v>
      </c>
      <c r="G2" s="2">
        <f ca="1">F2*RANDBETWEEN(60,80)/100</f>
        <v>4033.32</v>
      </c>
      <c r="H2" s="2">
        <f ca="1">F2-G2</f>
        <v>2578.6799999999998</v>
      </c>
      <c r="I2">
        <f ca="1">RANDBETWEEN(0,40)</f>
        <v>36</v>
      </c>
      <c r="J2" s="2"/>
      <c r="K2" s="2"/>
      <c r="L2" s="2"/>
      <c r="M2" s="2"/>
      <c r="N2" s="2"/>
      <c r="O2" s="2"/>
      <c r="P2" s="2"/>
      <c r="Q2" s="2"/>
    </row>
    <row r="3" spans="1:17" x14ac:dyDescent="0.2">
      <c r="A3" s="1">
        <v>45658</v>
      </c>
      <c r="B3" t="str" cm="1">
        <f t="array" aca="1" ref="B3" ca="1">INDEX(Reference_Table!$A$1:$A$3,RANDBETWEEN(1,3))</f>
        <v>Tampa</v>
      </c>
      <c r="C3" t="str" cm="1">
        <f t="array" aca="1" ref="C3" ca="1">INDEX(Reference_Table!$B$1:$B$3,RANDBETWEEN(1,3))</f>
        <v>Apparel</v>
      </c>
      <c r="D3" t="str" cm="1">
        <f t="array" aca="1" ref="D3" ca="1">IF(C3="Footwear",INDEX(Reference_Table!$C$1:$C$3,RANDBETWEEN(1,3)),
IF(C3="Apparel",INDEX(Reference_Table!$D$1:$D$3,RANDBETWEEN(1,3)),
INDEX(Reference_Table!$E$1:$E$3,RANDBETWEEN(1,3))))</f>
        <v>Adidas Joggers</v>
      </c>
      <c r="E3" s="2">
        <f t="shared" ref="E3:E46" ca="1" si="0">RANDBETWEEN(5,100)</f>
        <v>76</v>
      </c>
      <c r="F3" s="2">
        <f t="shared" ref="F3:F46" ca="1" si="1">IF(C3="Footwear",E3*RANDBETWEEN(50,200),
IF(C3="Apparel",E3*RANDBETWEEN(20,100),
E3*RANDBETWEEN(20,200)))</f>
        <v>6156</v>
      </c>
      <c r="G3" s="2">
        <f t="shared" ref="G3:G46" ca="1" si="2">F3*RANDBETWEEN(60,80)/100</f>
        <v>3939.84</v>
      </c>
      <c r="H3" s="2">
        <f t="shared" ref="H3:H46" ca="1" si="3">F3-G3</f>
        <v>2216.16</v>
      </c>
      <c r="I3">
        <f t="shared" ref="I3:I46" ca="1" si="4">RANDBETWEEN(0,40)</f>
        <v>33</v>
      </c>
      <c r="J3" s="2"/>
      <c r="K3" s="2"/>
      <c r="L3" s="2"/>
      <c r="M3" s="2"/>
      <c r="N3" s="2"/>
      <c r="O3" s="2"/>
      <c r="P3" s="2"/>
      <c r="Q3" s="2"/>
    </row>
    <row r="4" spans="1:17" x14ac:dyDescent="0.2">
      <c r="A4" s="1">
        <v>45658</v>
      </c>
      <c r="B4" t="str" cm="1">
        <f t="array" aca="1" ref="B4" ca="1">INDEX(Reference_Table!$A$1:$A$3,RANDBETWEEN(1,3))</f>
        <v>Clearwater</v>
      </c>
      <c r="C4" t="str" cm="1">
        <f t="array" aca="1" ref="C4" ca="1">INDEX(Reference_Table!$B$1:$B$3,RANDBETWEEN(1,3))</f>
        <v>Footwear</v>
      </c>
      <c r="D4" t="str" cm="1">
        <f t="array" aca="1" ref="D4" ca="1">IF(C4="Footwear",INDEX(Reference_Table!$C$1:$C$3,RANDBETWEEN(1,3)),
IF(C4="Apparel",INDEX(Reference_Table!$D$1:$D$3,RANDBETWEEN(1,3)),
INDEX(Reference_Table!$E$1:$E$3,RANDBETWEEN(1,3))))</f>
        <v>Nike Running</v>
      </c>
      <c r="E4" s="2">
        <f t="shared" ca="1" si="0"/>
        <v>25</v>
      </c>
      <c r="F4" s="2">
        <f t="shared" ca="1" si="1"/>
        <v>3050</v>
      </c>
      <c r="G4" s="2">
        <f t="shared" ca="1" si="2"/>
        <v>2013</v>
      </c>
      <c r="H4" s="2">
        <f t="shared" ca="1" si="3"/>
        <v>1037</v>
      </c>
      <c r="I4">
        <f t="shared" ca="1" si="4"/>
        <v>25</v>
      </c>
      <c r="J4" s="2"/>
      <c r="K4" s="2"/>
      <c r="L4" s="2"/>
      <c r="M4" s="2"/>
      <c r="N4" s="2"/>
      <c r="O4" s="2"/>
      <c r="P4" s="2"/>
      <c r="Q4" s="2"/>
    </row>
    <row r="5" spans="1:17" x14ac:dyDescent="0.2">
      <c r="A5" s="1">
        <v>45689</v>
      </c>
      <c r="B5" t="str" cm="1">
        <f t="array" aca="1" ref="B5" ca="1">INDEX(Reference_Table!$A$1:$A$3,RANDBETWEEN(1,3))</f>
        <v>Clearwater</v>
      </c>
      <c r="C5" t="str" cm="1">
        <f t="array" aca="1" ref="C5" ca="1">INDEX(Reference_Table!$B$1:$B$3,RANDBETWEEN(1,3))</f>
        <v>Footwear</v>
      </c>
      <c r="D5" t="str" cm="1">
        <f t="array" aca="1" ref="D5" ca="1">IF(C5="Footwear",INDEX(Reference_Table!$C$1:$C$3,RANDBETWEEN(1,3)),
IF(C5="Apparel",INDEX(Reference_Table!$D$1:$D$3,RANDBETWEEN(1,3)),
INDEX(Reference_Table!$E$1:$E$3,RANDBETWEEN(1,3))))</f>
        <v>Nike Running</v>
      </c>
      <c r="E5" s="2">
        <f t="shared" ca="1" si="0"/>
        <v>69</v>
      </c>
      <c r="F5" s="2">
        <f t="shared" ca="1" si="1"/>
        <v>4761</v>
      </c>
      <c r="G5" s="2">
        <f t="shared" ca="1" si="2"/>
        <v>3761.19</v>
      </c>
      <c r="H5" s="2">
        <f t="shared" ca="1" si="3"/>
        <v>999.81</v>
      </c>
      <c r="I5">
        <f t="shared" ca="1" si="4"/>
        <v>8</v>
      </c>
      <c r="J5" s="2"/>
      <c r="K5" s="2"/>
      <c r="L5" s="2"/>
      <c r="M5" s="2"/>
      <c r="N5" s="2"/>
      <c r="O5" s="2"/>
      <c r="P5" s="2"/>
      <c r="Q5" s="2"/>
    </row>
    <row r="6" spans="1:17" x14ac:dyDescent="0.2">
      <c r="A6" s="1">
        <v>45689</v>
      </c>
      <c r="B6" t="str" cm="1">
        <f t="array" aca="1" ref="B6" ca="1">INDEX(Reference_Table!$A$1:$A$3,RANDBETWEEN(1,3))</f>
        <v>Tampa</v>
      </c>
      <c r="C6" t="str" cm="1">
        <f t="array" aca="1" ref="C6" ca="1">INDEX(Reference_Table!$B$1:$B$3,RANDBETWEEN(1,3))</f>
        <v>Apparel</v>
      </c>
      <c r="D6" t="str" cm="1">
        <f t="array" aca="1" ref="D6" ca="1">IF(C6="Footwear",INDEX(Reference_Table!$C$1:$C$3,RANDBETWEEN(1,3)),
IF(C6="Apparel",INDEX(Reference_Table!$D$1:$D$3,RANDBETWEEN(1,3)),
INDEX(Reference_Table!$E$1:$E$3,RANDBETWEEN(1,3))))</f>
        <v>Under Armour Hoodie</v>
      </c>
      <c r="E6" s="2">
        <f t="shared" ca="1" si="0"/>
        <v>14</v>
      </c>
      <c r="F6" s="2">
        <f t="shared" ca="1" si="1"/>
        <v>1358</v>
      </c>
      <c r="G6" s="2">
        <f t="shared" ca="1" si="2"/>
        <v>828.38</v>
      </c>
      <c r="H6" s="2">
        <f t="shared" ca="1" si="3"/>
        <v>529.62</v>
      </c>
      <c r="I6">
        <f t="shared" ca="1" si="4"/>
        <v>37</v>
      </c>
      <c r="J6" s="2"/>
      <c r="K6" s="2"/>
      <c r="L6" s="2"/>
      <c r="M6" s="2"/>
      <c r="N6" s="2"/>
      <c r="O6" s="2"/>
      <c r="P6" s="2"/>
      <c r="Q6" s="2"/>
    </row>
    <row r="7" spans="1:17" x14ac:dyDescent="0.2">
      <c r="A7" s="1">
        <v>45689</v>
      </c>
      <c r="B7" t="str" cm="1">
        <f t="array" aca="1" ref="B7" ca="1">INDEX(Reference_Table!$A$1:$A$3,RANDBETWEEN(1,3))</f>
        <v>Clearwater</v>
      </c>
      <c r="C7" t="str" cm="1">
        <f t="array" aca="1" ref="C7" ca="1">INDEX(Reference_Table!$B$1:$B$3,RANDBETWEEN(1,3))</f>
        <v>Apparel</v>
      </c>
      <c r="D7" t="str" cm="1">
        <f t="array" aca="1" ref="D7" ca="1">IF(C7="Footwear",INDEX(Reference_Table!$C$1:$C$3,RANDBETWEEN(1,3)),
IF(C7="Apparel",INDEX(Reference_Table!$D$1:$D$3,RANDBETWEEN(1,3)),
INDEX(Reference_Table!$E$1:$E$3,RANDBETWEEN(1,3))))</f>
        <v>Nike Shorts</v>
      </c>
      <c r="E7" s="2">
        <f t="shared" ca="1" si="0"/>
        <v>80</v>
      </c>
      <c r="F7" s="2">
        <f t="shared" ca="1" si="1"/>
        <v>3840</v>
      </c>
      <c r="G7" s="2">
        <f t="shared" ca="1" si="2"/>
        <v>2419.1999999999998</v>
      </c>
      <c r="H7" s="2">
        <f t="shared" ca="1" si="3"/>
        <v>1420.8000000000002</v>
      </c>
      <c r="I7">
        <f t="shared" ca="1" si="4"/>
        <v>36</v>
      </c>
      <c r="J7" s="2"/>
      <c r="K7" s="2"/>
      <c r="L7" s="2"/>
      <c r="M7" s="2"/>
      <c r="N7" s="2"/>
      <c r="O7" s="2"/>
      <c r="P7" s="2"/>
      <c r="Q7" s="2"/>
    </row>
    <row r="8" spans="1:17" x14ac:dyDescent="0.2">
      <c r="A8" s="1">
        <v>45717</v>
      </c>
      <c r="B8" t="str" cm="1">
        <f t="array" aca="1" ref="B8" ca="1">INDEX(Reference_Table!$A$1:$A$3,RANDBETWEEN(1,3))</f>
        <v>Tampa</v>
      </c>
      <c r="C8" t="str" cm="1">
        <f t="array" aca="1" ref="C8" ca="1">INDEX(Reference_Table!$B$1:$B$3,RANDBETWEEN(1,3))</f>
        <v>Footwear</v>
      </c>
      <c r="D8" t="str" cm="1">
        <f t="array" aca="1" ref="D8" ca="1">IF(C8="Footwear",INDEX(Reference_Table!$C$1:$C$3,RANDBETWEEN(1,3)),
IF(C8="Apparel",INDEX(Reference_Table!$D$1:$D$3,RANDBETWEEN(1,3)),
INDEX(Reference_Table!$E$1:$E$3,RANDBETWEEN(1,3))))</f>
        <v>Brooks Running</v>
      </c>
      <c r="E8" s="2">
        <f t="shared" ca="1" si="0"/>
        <v>76</v>
      </c>
      <c r="F8" s="2">
        <f t="shared" ca="1" si="1"/>
        <v>10032</v>
      </c>
      <c r="G8" s="2">
        <f t="shared" ca="1" si="2"/>
        <v>6019.2</v>
      </c>
      <c r="H8" s="2">
        <f t="shared" ca="1" si="3"/>
        <v>4012.8</v>
      </c>
      <c r="I8">
        <f t="shared" ca="1" si="4"/>
        <v>1</v>
      </c>
      <c r="J8" s="2"/>
      <c r="K8" s="2"/>
      <c r="L8" s="2"/>
      <c r="M8" s="2"/>
      <c r="N8" s="2"/>
      <c r="O8" s="2"/>
      <c r="P8" s="2"/>
      <c r="Q8" s="2"/>
    </row>
    <row r="9" spans="1:17" x14ac:dyDescent="0.2">
      <c r="A9" s="1">
        <v>45717</v>
      </c>
      <c r="B9" t="str" cm="1">
        <f t="array" aca="1" ref="B9" ca="1">INDEX(Reference_Table!$A$1:$A$3,RANDBETWEEN(1,3))</f>
        <v>St. Petersburg</v>
      </c>
      <c r="C9" t="str" cm="1">
        <f t="array" aca="1" ref="C9" ca="1">INDEX(Reference_Table!$B$1:$B$3,RANDBETWEEN(1,3))</f>
        <v>Equipment</v>
      </c>
      <c r="D9" t="str" cm="1">
        <f t="array" aca="1" ref="D9" ca="1">IF(C9="Footwear",INDEX(Reference_Table!$C$1:$C$3,RANDBETWEEN(1,3)),
IF(C9="Apparel",INDEX(Reference_Table!$D$1:$D$3,RANDBETWEEN(1,3)),
INDEX(Reference_Table!$E$1:$E$3,RANDBETWEEN(1,3))))</f>
        <v>Yoga Mat</v>
      </c>
      <c r="E9" s="2">
        <f t="shared" ca="1" si="0"/>
        <v>99</v>
      </c>
      <c r="F9" s="2">
        <f t="shared" ca="1" si="1"/>
        <v>15048</v>
      </c>
      <c r="G9" s="2">
        <f t="shared" ca="1" si="2"/>
        <v>11135.52</v>
      </c>
      <c r="H9" s="2">
        <f t="shared" ca="1" si="3"/>
        <v>3912.4799999999996</v>
      </c>
      <c r="I9">
        <f t="shared" ca="1" si="4"/>
        <v>10</v>
      </c>
      <c r="J9" s="2"/>
      <c r="K9" s="2"/>
      <c r="L9" s="2"/>
      <c r="M9" s="2"/>
      <c r="N9" s="2"/>
      <c r="O9" s="2"/>
      <c r="P9" s="2"/>
      <c r="Q9" s="2"/>
    </row>
    <row r="10" spans="1:17" x14ac:dyDescent="0.2">
      <c r="A10" s="1">
        <v>45717</v>
      </c>
      <c r="B10" t="str" cm="1">
        <f t="array" aca="1" ref="B10" ca="1">INDEX(Reference_Table!$A$1:$A$3,RANDBETWEEN(1,3))</f>
        <v>St. Petersburg</v>
      </c>
      <c r="C10" t="str" cm="1">
        <f t="array" aca="1" ref="C10" ca="1">INDEX(Reference_Table!$B$1:$B$3,RANDBETWEEN(1,3))</f>
        <v>Equipment</v>
      </c>
      <c r="D10" t="str" cm="1">
        <f t="array" aca="1" ref="D10" ca="1">IF(C10="Footwear",INDEX(Reference_Table!$C$1:$C$3,RANDBETWEEN(1,3)),
IF(C10="Apparel",INDEX(Reference_Table!$D$1:$D$3,RANDBETWEEN(1,3)),
INDEX(Reference_Table!$E$1:$E$3,RANDBETWEEN(1,3))))</f>
        <v>Yoga Mat</v>
      </c>
      <c r="E10" s="2">
        <f t="shared" ca="1" si="0"/>
        <v>88</v>
      </c>
      <c r="F10" s="2">
        <f t="shared" ca="1" si="1"/>
        <v>3960</v>
      </c>
      <c r="G10" s="2">
        <f t="shared" ca="1" si="2"/>
        <v>2851.2</v>
      </c>
      <c r="H10" s="2">
        <f t="shared" ca="1" si="3"/>
        <v>1108.8000000000002</v>
      </c>
      <c r="I10">
        <f t="shared" ca="1" si="4"/>
        <v>3</v>
      </c>
      <c r="J10" s="2"/>
      <c r="K10" s="2"/>
      <c r="L10" s="2"/>
      <c r="M10" s="2"/>
      <c r="N10" s="2"/>
      <c r="O10" s="2"/>
      <c r="P10" s="2"/>
      <c r="Q10" s="2"/>
    </row>
    <row r="11" spans="1:17" x14ac:dyDescent="0.2">
      <c r="A11" s="1">
        <v>45748</v>
      </c>
      <c r="B11" t="str" cm="1">
        <f t="array" aca="1" ref="B11" ca="1">INDEX(Reference_Table!$A$1:$A$3,RANDBETWEEN(1,3))</f>
        <v>Clearwater</v>
      </c>
      <c r="C11" t="str" cm="1">
        <f t="array" aca="1" ref="C11" ca="1">INDEX(Reference_Table!$B$1:$B$3,RANDBETWEEN(1,3))</f>
        <v>Equipment</v>
      </c>
      <c r="D11" t="str" cm="1">
        <f t="array" aca="1" ref="D11" ca="1">IF(C11="Footwear",INDEX(Reference_Table!$C$1:$C$3,RANDBETWEEN(1,3)),
IF(C11="Apparel",INDEX(Reference_Table!$D$1:$D$3,RANDBETWEEN(1,3)),
INDEX(Reference_Table!$E$1:$E$3,RANDBETWEEN(1,3))))</f>
        <v>Dumbbell Set</v>
      </c>
      <c r="E11" s="2">
        <f t="shared" ca="1" si="0"/>
        <v>36</v>
      </c>
      <c r="F11" s="2">
        <f t="shared" ca="1" si="1"/>
        <v>1620</v>
      </c>
      <c r="G11" s="2">
        <f t="shared" ca="1" si="2"/>
        <v>1020.6</v>
      </c>
      <c r="H11" s="2">
        <f t="shared" ca="1" si="3"/>
        <v>599.4</v>
      </c>
      <c r="I11">
        <f t="shared" ca="1" si="4"/>
        <v>0</v>
      </c>
      <c r="J11" s="2"/>
      <c r="K11" s="2"/>
      <c r="L11" s="2"/>
      <c r="M11" s="2"/>
      <c r="N11" s="2"/>
      <c r="O11" s="2"/>
      <c r="P11" s="2"/>
      <c r="Q11" s="2"/>
    </row>
    <row r="12" spans="1:17" x14ac:dyDescent="0.2">
      <c r="A12" s="1">
        <v>45748</v>
      </c>
      <c r="B12" t="str" cm="1">
        <f t="array" aca="1" ref="B12" ca="1">INDEX(Reference_Table!$A$1:$A$3,RANDBETWEEN(1,3))</f>
        <v>Clearwater</v>
      </c>
      <c r="C12" t="str" cm="1">
        <f t="array" aca="1" ref="C12" ca="1">INDEX(Reference_Table!$B$1:$B$3,RANDBETWEEN(1,3))</f>
        <v>Apparel</v>
      </c>
      <c r="D12" t="str" cm="1">
        <f t="array" aca="1" ref="D12" ca="1">IF(C12="Footwear",INDEX(Reference_Table!$C$1:$C$3,RANDBETWEEN(1,3)),
IF(C12="Apparel",INDEX(Reference_Table!$D$1:$D$3,RANDBETWEEN(1,3)),
INDEX(Reference_Table!$E$1:$E$3,RANDBETWEEN(1,3))))</f>
        <v>Adidas Joggers</v>
      </c>
      <c r="E12" s="2">
        <f t="shared" ca="1" si="0"/>
        <v>43</v>
      </c>
      <c r="F12" s="2">
        <f t="shared" ca="1" si="1"/>
        <v>4214</v>
      </c>
      <c r="G12" s="2">
        <f t="shared" ca="1" si="2"/>
        <v>2570.54</v>
      </c>
      <c r="H12" s="2">
        <f t="shared" ca="1" si="3"/>
        <v>1643.46</v>
      </c>
      <c r="I12">
        <f t="shared" ca="1" si="4"/>
        <v>17</v>
      </c>
      <c r="J12" s="2"/>
      <c r="K12" s="2"/>
      <c r="L12" s="2"/>
      <c r="M12" s="2"/>
      <c r="N12" s="2"/>
      <c r="O12" s="2"/>
      <c r="P12" s="2"/>
      <c r="Q12" s="2"/>
    </row>
    <row r="13" spans="1:17" x14ac:dyDescent="0.2">
      <c r="A13" s="1">
        <v>45748</v>
      </c>
      <c r="B13" t="str" cm="1">
        <f t="array" aca="1" ref="B13" ca="1">INDEX(Reference_Table!$A$1:$A$3,RANDBETWEEN(1,3))</f>
        <v>St. Petersburg</v>
      </c>
      <c r="C13" t="str" cm="1">
        <f t="array" aca="1" ref="C13" ca="1">INDEX(Reference_Table!$B$1:$B$3,RANDBETWEEN(1,3))</f>
        <v>Apparel</v>
      </c>
      <c r="D13" t="str" cm="1">
        <f t="array" aca="1" ref="D13" ca="1">IF(C13="Footwear",INDEX(Reference_Table!$C$1:$C$3,RANDBETWEEN(1,3)),
IF(C13="Apparel",INDEX(Reference_Table!$D$1:$D$3,RANDBETWEEN(1,3)),
INDEX(Reference_Table!$E$1:$E$3,RANDBETWEEN(1,3))))</f>
        <v>Nike Shorts</v>
      </c>
      <c r="E13" s="2">
        <f t="shared" ca="1" si="0"/>
        <v>95</v>
      </c>
      <c r="F13" s="2">
        <f t="shared" ca="1" si="1"/>
        <v>4275</v>
      </c>
      <c r="G13" s="2">
        <f t="shared" ca="1" si="2"/>
        <v>2992.5</v>
      </c>
      <c r="H13" s="2">
        <f t="shared" ca="1" si="3"/>
        <v>1282.5</v>
      </c>
      <c r="I13">
        <f t="shared" ca="1" si="4"/>
        <v>38</v>
      </c>
      <c r="J13" s="2"/>
      <c r="K13" s="2"/>
      <c r="L13" s="2"/>
      <c r="M13" s="2"/>
      <c r="N13" s="2"/>
      <c r="O13" s="2"/>
      <c r="P13" s="2"/>
      <c r="Q13" s="2"/>
    </row>
    <row r="14" spans="1:17" x14ac:dyDescent="0.2">
      <c r="A14" s="1">
        <v>45778</v>
      </c>
      <c r="B14" t="str" cm="1">
        <f t="array" aca="1" ref="B14" ca="1">INDEX(Reference_Table!$A$1:$A$3,RANDBETWEEN(1,3))</f>
        <v>Clearwater</v>
      </c>
      <c r="C14" t="str" cm="1">
        <f t="array" aca="1" ref="C14" ca="1">INDEX(Reference_Table!$B$1:$B$3,RANDBETWEEN(1,3))</f>
        <v>Apparel</v>
      </c>
      <c r="D14" t="str" cm="1">
        <f t="array" aca="1" ref="D14" ca="1">IF(C14="Footwear",INDEX(Reference_Table!$C$1:$C$3,RANDBETWEEN(1,3)),
IF(C14="Apparel",INDEX(Reference_Table!$D$1:$D$3,RANDBETWEEN(1,3)),
INDEX(Reference_Table!$E$1:$E$3,RANDBETWEEN(1,3))))</f>
        <v>Nike Shorts</v>
      </c>
      <c r="E14" s="2">
        <f t="shared" ca="1" si="0"/>
        <v>5</v>
      </c>
      <c r="F14" s="2">
        <f t="shared" ca="1" si="1"/>
        <v>350</v>
      </c>
      <c r="G14" s="2">
        <f t="shared" ca="1" si="2"/>
        <v>210</v>
      </c>
      <c r="H14" s="2">
        <f t="shared" ca="1" si="3"/>
        <v>140</v>
      </c>
      <c r="I14">
        <f t="shared" ca="1" si="4"/>
        <v>11</v>
      </c>
      <c r="J14" s="2"/>
      <c r="K14" s="2"/>
      <c r="L14" s="2"/>
      <c r="M14" s="2"/>
      <c r="N14" s="2"/>
      <c r="O14" s="2"/>
      <c r="P14" s="2"/>
      <c r="Q14" s="2"/>
    </row>
    <row r="15" spans="1:17" x14ac:dyDescent="0.2">
      <c r="A15" s="1">
        <v>45778</v>
      </c>
      <c r="B15" t="str" cm="1">
        <f t="array" aca="1" ref="B15" ca="1">INDEX(Reference_Table!$A$1:$A$3,RANDBETWEEN(1,3))</f>
        <v>Tampa</v>
      </c>
      <c r="C15" t="str" cm="1">
        <f t="array" aca="1" ref="C15" ca="1">INDEX(Reference_Table!$B$1:$B$3,RANDBETWEEN(1,3))</f>
        <v>Equipment</v>
      </c>
      <c r="D15" t="str" cm="1">
        <f t="array" aca="1" ref="D15" ca="1">IF(C15="Footwear",INDEX(Reference_Table!$C$1:$C$3,RANDBETWEEN(1,3)),
IF(C15="Apparel",INDEX(Reference_Table!$D$1:$D$3,RANDBETWEEN(1,3)),
INDEX(Reference_Table!$E$1:$E$3,RANDBETWEEN(1,3))))</f>
        <v>Dumbbell Set</v>
      </c>
      <c r="E15" s="2">
        <f t="shared" ca="1" si="0"/>
        <v>81</v>
      </c>
      <c r="F15" s="2">
        <f t="shared" ca="1" si="1"/>
        <v>1701</v>
      </c>
      <c r="G15" s="2">
        <f t="shared" ca="1" si="2"/>
        <v>1037.6099999999999</v>
      </c>
      <c r="H15" s="2">
        <f t="shared" ca="1" si="3"/>
        <v>663.3900000000001</v>
      </c>
      <c r="I15">
        <f t="shared" ca="1" si="4"/>
        <v>26</v>
      </c>
      <c r="J15" s="2"/>
      <c r="K15" s="2"/>
      <c r="L15" s="2"/>
      <c r="M15" s="2"/>
      <c r="N15" s="2"/>
      <c r="O15" s="2"/>
      <c r="P15" s="2"/>
      <c r="Q15" s="2"/>
    </row>
    <row r="16" spans="1:17" x14ac:dyDescent="0.2">
      <c r="A16" s="1">
        <v>45778</v>
      </c>
      <c r="B16" t="str" cm="1">
        <f t="array" aca="1" ref="B16" ca="1">INDEX(Reference_Table!$A$1:$A$3,RANDBETWEEN(1,3))</f>
        <v>St. Petersburg</v>
      </c>
      <c r="C16" t="str" cm="1">
        <f t="array" aca="1" ref="C16" ca="1">INDEX(Reference_Table!$B$1:$B$3,RANDBETWEEN(1,3))</f>
        <v>Equipment</v>
      </c>
      <c r="D16" t="str" cm="1">
        <f t="array" aca="1" ref="D16" ca="1">IF(C16="Footwear",INDEX(Reference_Table!$C$1:$C$3,RANDBETWEEN(1,3)),
IF(C16="Apparel",INDEX(Reference_Table!$D$1:$D$3,RANDBETWEEN(1,3)),
INDEX(Reference_Table!$E$1:$E$3,RANDBETWEEN(1,3))))</f>
        <v>Yoga Mat</v>
      </c>
      <c r="E16" s="2">
        <f t="shared" ca="1" si="0"/>
        <v>42</v>
      </c>
      <c r="F16" s="2">
        <f t="shared" ca="1" si="1"/>
        <v>1512</v>
      </c>
      <c r="G16" s="2">
        <f t="shared" ca="1" si="2"/>
        <v>1058.4000000000001</v>
      </c>
      <c r="H16" s="2">
        <f t="shared" ca="1" si="3"/>
        <v>453.59999999999991</v>
      </c>
      <c r="I16">
        <f t="shared" ca="1" si="4"/>
        <v>17</v>
      </c>
      <c r="J16" s="2"/>
      <c r="K16" s="2"/>
      <c r="L16" s="2"/>
      <c r="M16" s="2"/>
      <c r="N16" s="2"/>
      <c r="O16" s="2"/>
      <c r="P16" s="2"/>
      <c r="Q16" s="2"/>
    </row>
    <row r="17" spans="1:17" x14ac:dyDescent="0.2">
      <c r="A17" s="1">
        <v>45809</v>
      </c>
      <c r="B17" t="str" cm="1">
        <f t="array" aca="1" ref="B17" ca="1">INDEX(Reference_Table!$A$1:$A$3,RANDBETWEEN(1,3))</f>
        <v>Tampa</v>
      </c>
      <c r="C17" t="str" cm="1">
        <f t="array" aca="1" ref="C17" ca="1">INDEX(Reference_Table!$B$1:$B$3,RANDBETWEEN(1,3))</f>
        <v>Apparel</v>
      </c>
      <c r="D17" t="str" cm="1">
        <f t="array" aca="1" ref="D17" ca="1">IF(C17="Footwear",INDEX(Reference_Table!$C$1:$C$3,RANDBETWEEN(1,3)),
IF(C17="Apparel",INDEX(Reference_Table!$D$1:$D$3,RANDBETWEEN(1,3)),
INDEX(Reference_Table!$E$1:$E$3,RANDBETWEEN(1,3))))</f>
        <v>Nike Shorts</v>
      </c>
      <c r="E17" s="2">
        <f t="shared" ca="1" si="0"/>
        <v>39</v>
      </c>
      <c r="F17" s="2">
        <f t="shared" ca="1" si="1"/>
        <v>3198</v>
      </c>
      <c r="G17" s="2">
        <f t="shared" ca="1" si="2"/>
        <v>2046.72</v>
      </c>
      <c r="H17" s="2">
        <f t="shared" ca="1" si="3"/>
        <v>1151.28</v>
      </c>
      <c r="I17">
        <f t="shared" ca="1" si="4"/>
        <v>4</v>
      </c>
      <c r="J17" s="2"/>
      <c r="K17" s="2"/>
      <c r="L17" s="2"/>
      <c r="M17" s="2"/>
      <c r="N17" s="2"/>
      <c r="O17" s="2"/>
      <c r="P17" s="2"/>
      <c r="Q17" s="2"/>
    </row>
    <row r="18" spans="1:17" x14ac:dyDescent="0.2">
      <c r="A18" s="1">
        <v>45809</v>
      </c>
      <c r="B18" t="str" cm="1">
        <f t="array" aca="1" ref="B18" ca="1">INDEX(Reference_Table!$A$1:$A$3,RANDBETWEEN(1,3))</f>
        <v>St. Petersburg</v>
      </c>
      <c r="C18" t="str" cm="1">
        <f t="array" aca="1" ref="C18" ca="1">INDEX(Reference_Table!$B$1:$B$3,RANDBETWEEN(1,3))</f>
        <v>Apparel</v>
      </c>
      <c r="D18" t="str" cm="1">
        <f t="array" aca="1" ref="D18" ca="1">IF(C18="Footwear",INDEX(Reference_Table!$C$1:$C$3,RANDBETWEEN(1,3)),
IF(C18="Apparel",INDEX(Reference_Table!$D$1:$D$3,RANDBETWEEN(1,3)),
INDEX(Reference_Table!$E$1:$E$3,RANDBETWEEN(1,3))))</f>
        <v>Under Armour Hoodie</v>
      </c>
      <c r="E18" s="2">
        <f t="shared" ca="1" si="0"/>
        <v>43</v>
      </c>
      <c r="F18" s="2">
        <f t="shared" ca="1" si="1"/>
        <v>1419</v>
      </c>
      <c r="G18" s="2">
        <f t="shared" ca="1" si="2"/>
        <v>879.78</v>
      </c>
      <c r="H18" s="2">
        <f t="shared" ca="1" si="3"/>
        <v>539.22</v>
      </c>
      <c r="I18">
        <f t="shared" ca="1" si="4"/>
        <v>11</v>
      </c>
      <c r="J18" s="2"/>
      <c r="K18" s="2"/>
      <c r="L18" s="2"/>
      <c r="M18" s="2"/>
      <c r="N18" s="2"/>
      <c r="O18" s="2"/>
      <c r="P18" s="2"/>
      <c r="Q18" s="2"/>
    </row>
    <row r="19" spans="1:17" x14ac:dyDescent="0.2">
      <c r="A19" s="1">
        <v>45809</v>
      </c>
      <c r="B19" t="str" cm="1">
        <f t="array" aca="1" ref="B19" ca="1">INDEX(Reference_Table!$A$1:$A$3,RANDBETWEEN(1,3))</f>
        <v>St. Petersburg</v>
      </c>
      <c r="C19" t="str" cm="1">
        <f t="array" aca="1" ref="C19" ca="1">INDEX(Reference_Table!$B$1:$B$3,RANDBETWEEN(1,3))</f>
        <v>Footwear</v>
      </c>
      <c r="D19" t="str" cm="1">
        <f t="array" aca="1" ref="D19" ca="1">IF(C19="Footwear",INDEX(Reference_Table!$C$1:$C$3,RANDBETWEEN(1,3)),
IF(C19="Apparel",INDEX(Reference_Table!$D$1:$D$3,RANDBETWEEN(1,3)),
INDEX(Reference_Table!$E$1:$E$3,RANDBETWEEN(1,3))))</f>
        <v>Brooks Running</v>
      </c>
      <c r="E19" s="2">
        <f t="shared" ca="1" si="0"/>
        <v>47</v>
      </c>
      <c r="F19" s="2">
        <f t="shared" ca="1" si="1"/>
        <v>6815</v>
      </c>
      <c r="G19" s="2">
        <f t="shared" ca="1" si="2"/>
        <v>5043.1000000000004</v>
      </c>
      <c r="H19" s="2">
        <f t="shared" ca="1" si="3"/>
        <v>1771.8999999999996</v>
      </c>
      <c r="I19">
        <f t="shared" ca="1" si="4"/>
        <v>2</v>
      </c>
      <c r="J19" s="2"/>
      <c r="K19" s="2"/>
      <c r="L19" s="2"/>
      <c r="M19" s="2"/>
      <c r="N19" s="2"/>
      <c r="O19" s="2"/>
      <c r="P19" s="2"/>
      <c r="Q19" s="2"/>
    </row>
    <row r="20" spans="1:17" x14ac:dyDescent="0.2">
      <c r="A20" s="1">
        <v>45839</v>
      </c>
      <c r="B20" t="str" cm="1">
        <f t="array" aca="1" ref="B20" ca="1">INDEX(Reference_Table!$A$1:$A$3,RANDBETWEEN(1,3))</f>
        <v>Tampa</v>
      </c>
      <c r="C20" t="str" cm="1">
        <f t="array" aca="1" ref="C20" ca="1">INDEX(Reference_Table!$B$1:$B$3,RANDBETWEEN(1,3))</f>
        <v>Equipment</v>
      </c>
      <c r="D20" t="str" cm="1">
        <f t="array" aca="1" ref="D20" ca="1">IF(C20="Footwear",INDEX(Reference_Table!$C$1:$C$3,RANDBETWEEN(1,3)),
IF(C20="Apparel",INDEX(Reference_Table!$D$1:$D$3,RANDBETWEEN(1,3)),
INDEX(Reference_Table!$E$1:$E$3,RANDBETWEEN(1,3))))</f>
        <v>Yoga Mat</v>
      </c>
      <c r="E20" s="2">
        <f t="shared" ca="1" si="0"/>
        <v>51</v>
      </c>
      <c r="F20" s="2">
        <f t="shared" ca="1" si="1"/>
        <v>5865</v>
      </c>
      <c r="G20" s="2">
        <f t="shared" ca="1" si="2"/>
        <v>3929.55</v>
      </c>
      <c r="H20" s="2">
        <f t="shared" ca="1" si="3"/>
        <v>1935.4499999999998</v>
      </c>
      <c r="I20">
        <f t="shared" ca="1" si="4"/>
        <v>24</v>
      </c>
      <c r="J20" s="2"/>
      <c r="K20" s="2"/>
      <c r="L20" s="2"/>
      <c r="M20" s="2"/>
      <c r="N20" s="2"/>
      <c r="O20" s="2"/>
      <c r="P20" s="2"/>
      <c r="Q20" s="2"/>
    </row>
    <row r="21" spans="1:17" x14ac:dyDescent="0.2">
      <c r="A21" s="1">
        <v>45839</v>
      </c>
      <c r="B21" t="str" cm="1">
        <f t="array" aca="1" ref="B21" ca="1">INDEX(Reference_Table!$A$1:$A$3,RANDBETWEEN(1,3))</f>
        <v>Tampa</v>
      </c>
      <c r="C21" t="str" cm="1">
        <f t="array" aca="1" ref="C21" ca="1">INDEX(Reference_Table!$B$1:$B$3,RANDBETWEEN(1,3))</f>
        <v>Equipment</v>
      </c>
      <c r="D21" t="str" cm="1">
        <f t="array" aca="1" ref="D21" ca="1">IF(C21="Footwear",INDEX(Reference_Table!$C$1:$C$3,RANDBETWEEN(1,3)),
IF(C21="Apparel",INDEX(Reference_Table!$D$1:$D$3,RANDBETWEEN(1,3)),
INDEX(Reference_Table!$E$1:$E$3,RANDBETWEEN(1,3))))</f>
        <v>Dumbbell Set</v>
      </c>
      <c r="E21" s="2">
        <f t="shared" ca="1" si="0"/>
        <v>46</v>
      </c>
      <c r="F21" s="2">
        <f t="shared" ca="1" si="1"/>
        <v>8740</v>
      </c>
      <c r="G21" s="2">
        <f t="shared" ca="1" si="2"/>
        <v>6292.8</v>
      </c>
      <c r="H21" s="2">
        <f t="shared" ca="1" si="3"/>
        <v>2447.1999999999998</v>
      </c>
      <c r="I21">
        <f t="shared" ca="1" si="4"/>
        <v>37</v>
      </c>
      <c r="J21" s="2"/>
      <c r="K21" s="2"/>
      <c r="L21" s="2"/>
      <c r="M21" s="2"/>
      <c r="N21" s="2"/>
      <c r="O21" s="2"/>
      <c r="P21" s="2"/>
      <c r="Q21" s="2"/>
    </row>
    <row r="22" spans="1:17" x14ac:dyDescent="0.2">
      <c r="A22" s="1">
        <v>45839</v>
      </c>
      <c r="B22" t="str" cm="1">
        <f t="array" aca="1" ref="B22" ca="1">INDEX(Reference_Table!$A$1:$A$3,RANDBETWEEN(1,3))</f>
        <v>St. Petersburg</v>
      </c>
      <c r="C22" t="str" cm="1">
        <f t="array" aca="1" ref="C22" ca="1">INDEX(Reference_Table!$B$1:$B$3,RANDBETWEEN(1,3))</f>
        <v>Apparel</v>
      </c>
      <c r="D22" t="str" cm="1">
        <f t="array" aca="1" ref="D22" ca="1">IF(C22="Footwear",INDEX(Reference_Table!$C$1:$C$3,RANDBETWEEN(1,3)),
IF(C22="Apparel",INDEX(Reference_Table!$D$1:$D$3,RANDBETWEEN(1,3)),
INDEX(Reference_Table!$E$1:$E$3,RANDBETWEEN(1,3))))</f>
        <v>Nike Shorts</v>
      </c>
      <c r="E22" s="2">
        <f t="shared" ca="1" si="0"/>
        <v>35</v>
      </c>
      <c r="F22" s="2">
        <f t="shared" ca="1" si="1"/>
        <v>2975</v>
      </c>
      <c r="G22" s="2">
        <f t="shared" ca="1" si="2"/>
        <v>2380</v>
      </c>
      <c r="H22" s="2">
        <f t="shared" ca="1" si="3"/>
        <v>595</v>
      </c>
      <c r="I22">
        <f t="shared" ca="1" si="4"/>
        <v>6</v>
      </c>
      <c r="J22" s="2"/>
      <c r="K22" s="2"/>
      <c r="L22" s="2"/>
      <c r="M22" s="2"/>
      <c r="N22" s="2"/>
      <c r="O22" s="2"/>
      <c r="P22" s="2"/>
      <c r="Q22" s="2"/>
    </row>
    <row r="23" spans="1:17" x14ac:dyDescent="0.2">
      <c r="A23" s="1">
        <v>45870</v>
      </c>
      <c r="B23" t="str" cm="1">
        <f t="array" aca="1" ref="B23" ca="1">INDEX(Reference_Table!$A$1:$A$3,RANDBETWEEN(1,3))</f>
        <v>Tampa</v>
      </c>
      <c r="C23" t="str" cm="1">
        <f t="array" aca="1" ref="C23" ca="1">INDEX(Reference_Table!$B$1:$B$3,RANDBETWEEN(1,3))</f>
        <v>Apparel</v>
      </c>
      <c r="D23" t="str" cm="1">
        <f t="array" aca="1" ref="D23" ca="1">IF(C23="Footwear",INDEX(Reference_Table!$C$1:$C$3,RANDBETWEEN(1,3)),
IF(C23="Apparel",INDEX(Reference_Table!$D$1:$D$3,RANDBETWEEN(1,3)),
INDEX(Reference_Table!$E$1:$E$3,RANDBETWEEN(1,3))))</f>
        <v>Nike Shorts</v>
      </c>
      <c r="E23" s="2">
        <f t="shared" ca="1" si="0"/>
        <v>74</v>
      </c>
      <c r="F23" s="2">
        <f t="shared" ca="1" si="1"/>
        <v>4070</v>
      </c>
      <c r="G23" s="2">
        <f t="shared" ca="1" si="2"/>
        <v>3093.2</v>
      </c>
      <c r="H23" s="2">
        <f t="shared" ca="1" si="3"/>
        <v>976.80000000000018</v>
      </c>
      <c r="I23">
        <f t="shared" ca="1" si="4"/>
        <v>33</v>
      </c>
      <c r="J23" s="2"/>
      <c r="K23" s="2"/>
      <c r="L23" s="2"/>
      <c r="M23" s="2"/>
      <c r="N23" s="2"/>
      <c r="O23" s="2"/>
      <c r="P23" s="2"/>
      <c r="Q23" s="2"/>
    </row>
    <row r="24" spans="1:17" x14ac:dyDescent="0.2">
      <c r="A24" s="1">
        <v>45870</v>
      </c>
      <c r="B24" t="str" cm="1">
        <f t="array" aca="1" ref="B24" ca="1">INDEX(Reference_Table!$A$1:$A$3,RANDBETWEEN(1,3))</f>
        <v>St. Petersburg</v>
      </c>
      <c r="C24" t="str" cm="1">
        <f t="array" aca="1" ref="C24" ca="1">INDEX(Reference_Table!$B$1:$B$3,RANDBETWEEN(1,3))</f>
        <v>Equipment</v>
      </c>
      <c r="D24" t="str" cm="1">
        <f t="array" aca="1" ref="D24" ca="1">IF(C24="Footwear",INDEX(Reference_Table!$C$1:$C$3,RANDBETWEEN(1,3)),
IF(C24="Apparel",INDEX(Reference_Table!$D$1:$D$3,RANDBETWEEN(1,3)),
INDEX(Reference_Table!$E$1:$E$3,RANDBETWEEN(1,3))))</f>
        <v>Dumbbell Set</v>
      </c>
      <c r="E24" s="2">
        <f t="shared" ca="1" si="0"/>
        <v>8</v>
      </c>
      <c r="F24" s="2">
        <f t="shared" ca="1" si="1"/>
        <v>632</v>
      </c>
      <c r="G24" s="2">
        <f t="shared" ca="1" si="2"/>
        <v>461.36</v>
      </c>
      <c r="H24" s="2">
        <f t="shared" ca="1" si="3"/>
        <v>170.64</v>
      </c>
      <c r="I24">
        <f t="shared" ca="1" si="4"/>
        <v>35</v>
      </c>
      <c r="J24" s="2"/>
      <c r="K24" s="2"/>
      <c r="L24" s="2"/>
      <c r="M24" s="2"/>
      <c r="N24" s="2"/>
      <c r="O24" s="2"/>
      <c r="P24" s="2"/>
      <c r="Q24" s="2"/>
    </row>
    <row r="25" spans="1:17" x14ac:dyDescent="0.2">
      <c r="A25" s="1">
        <v>45870</v>
      </c>
      <c r="B25" t="str" cm="1">
        <f t="array" aca="1" ref="B25" ca="1">INDEX(Reference_Table!$A$1:$A$3,RANDBETWEEN(1,3))</f>
        <v>St. Petersburg</v>
      </c>
      <c r="C25" t="str" cm="1">
        <f t="array" aca="1" ref="C25" ca="1">INDEX(Reference_Table!$B$1:$B$3,RANDBETWEEN(1,3))</f>
        <v>Footwear</v>
      </c>
      <c r="D25" t="str" cm="1">
        <f t="array" aca="1" ref="D25" ca="1">IF(C25="Footwear",INDEX(Reference_Table!$C$1:$C$3,RANDBETWEEN(1,3)),
IF(C25="Apparel",INDEX(Reference_Table!$D$1:$D$3,RANDBETWEEN(1,3)),
INDEX(Reference_Table!$E$1:$E$3,RANDBETWEEN(1,3))))</f>
        <v>Adidas Sneakers</v>
      </c>
      <c r="E25" s="2">
        <f t="shared" ca="1" si="0"/>
        <v>5</v>
      </c>
      <c r="F25" s="2">
        <f t="shared" ca="1" si="1"/>
        <v>925</v>
      </c>
      <c r="G25" s="2">
        <f t="shared" ca="1" si="2"/>
        <v>638.25</v>
      </c>
      <c r="H25" s="2">
        <f t="shared" ca="1" si="3"/>
        <v>286.75</v>
      </c>
      <c r="I25">
        <f t="shared" ca="1" si="4"/>
        <v>35</v>
      </c>
      <c r="J25" s="2"/>
      <c r="K25" s="2"/>
      <c r="L25" s="2"/>
      <c r="M25" s="2"/>
      <c r="N25" s="2"/>
      <c r="O25" s="2"/>
      <c r="P25" s="2"/>
      <c r="Q25" s="2"/>
    </row>
    <row r="26" spans="1:17" x14ac:dyDescent="0.2">
      <c r="A26" s="1">
        <v>45901</v>
      </c>
      <c r="B26" t="str" cm="1">
        <f t="array" aca="1" ref="B26" ca="1">INDEX(Reference_Table!$A$1:$A$3,RANDBETWEEN(1,3))</f>
        <v>Tampa</v>
      </c>
      <c r="C26" t="str" cm="1">
        <f t="array" aca="1" ref="C26" ca="1">INDEX(Reference_Table!$B$1:$B$3,RANDBETWEEN(1,3))</f>
        <v>Equipment</v>
      </c>
      <c r="D26" t="str" cm="1">
        <f t="array" aca="1" ref="D26" ca="1">IF(C26="Footwear",INDEX(Reference_Table!$C$1:$C$3,RANDBETWEEN(1,3)),
IF(C26="Apparel",INDEX(Reference_Table!$D$1:$D$3,RANDBETWEEN(1,3)),
INDEX(Reference_Table!$E$1:$E$3,RANDBETWEEN(1,3))))</f>
        <v>Kettlebell</v>
      </c>
      <c r="E26" s="2">
        <f t="shared" ca="1" si="0"/>
        <v>47</v>
      </c>
      <c r="F26" s="2">
        <f t="shared" ca="1" si="1"/>
        <v>1645</v>
      </c>
      <c r="G26" s="2">
        <f t="shared" ca="1" si="2"/>
        <v>1316</v>
      </c>
      <c r="H26" s="2">
        <f t="shared" ca="1" si="3"/>
        <v>329</v>
      </c>
      <c r="I26">
        <f t="shared" ca="1" si="4"/>
        <v>18</v>
      </c>
      <c r="J26" s="2"/>
      <c r="K26" s="2"/>
      <c r="L26" s="2"/>
      <c r="M26" s="2"/>
      <c r="N26" s="2"/>
      <c r="O26" s="2"/>
      <c r="P26" s="2"/>
      <c r="Q26" s="2"/>
    </row>
    <row r="27" spans="1:17" x14ac:dyDescent="0.2">
      <c r="A27" s="1">
        <v>45901</v>
      </c>
      <c r="B27" t="str" cm="1">
        <f t="array" aca="1" ref="B27" ca="1">INDEX(Reference_Table!$A$1:$A$3,RANDBETWEEN(1,3))</f>
        <v>Tampa</v>
      </c>
      <c r="C27" t="str" cm="1">
        <f t="array" aca="1" ref="C27" ca="1">INDEX(Reference_Table!$B$1:$B$3,RANDBETWEEN(1,3))</f>
        <v>Equipment</v>
      </c>
      <c r="D27" t="str" cm="1">
        <f t="array" aca="1" ref="D27" ca="1">IF(C27="Footwear",INDEX(Reference_Table!$C$1:$C$3,RANDBETWEEN(1,3)),
IF(C27="Apparel",INDEX(Reference_Table!$D$1:$D$3,RANDBETWEEN(1,3)),
INDEX(Reference_Table!$E$1:$E$3,RANDBETWEEN(1,3))))</f>
        <v>Yoga Mat</v>
      </c>
      <c r="E27" s="2">
        <f t="shared" ca="1" si="0"/>
        <v>97</v>
      </c>
      <c r="F27" s="2">
        <f t="shared" ca="1" si="1"/>
        <v>15520</v>
      </c>
      <c r="G27" s="2">
        <f t="shared" ca="1" si="2"/>
        <v>11174.4</v>
      </c>
      <c r="H27" s="2">
        <f t="shared" ca="1" si="3"/>
        <v>4345.6000000000004</v>
      </c>
      <c r="I27">
        <f t="shared" ca="1" si="4"/>
        <v>32</v>
      </c>
      <c r="J27" s="2"/>
      <c r="K27" s="2"/>
      <c r="L27" s="2"/>
      <c r="M27" s="2"/>
      <c r="N27" s="2"/>
      <c r="O27" s="2"/>
      <c r="P27" s="2"/>
      <c r="Q27" s="2"/>
    </row>
    <row r="28" spans="1:17" x14ac:dyDescent="0.2">
      <c r="A28" s="1">
        <v>45901</v>
      </c>
      <c r="B28" t="str" cm="1">
        <f t="array" aca="1" ref="B28" ca="1">INDEX(Reference_Table!$A$1:$A$3,RANDBETWEEN(1,3))</f>
        <v>St. Petersburg</v>
      </c>
      <c r="C28" t="str" cm="1">
        <f t="array" aca="1" ref="C28" ca="1">INDEX(Reference_Table!$B$1:$B$3,RANDBETWEEN(1,3))</f>
        <v>Equipment</v>
      </c>
      <c r="D28" t="str" cm="1">
        <f t="array" aca="1" ref="D28" ca="1">IF(C28="Footwear",INDEX(Reference_Table!$C$1:$C$3,RANDBETWEEN(1,3)),
IF(C28="Apparel",INDEX(Reference_Table!$D$1:$D$3,RANDBETWEEN(1,3)),
INDEX(Reference_Table!$E$1:$E$3,RANDBETWEEN(1,3))))</f>
        <v>Yoga Mat</v>
      </c>
      <c r="E28" s="2">
        <f t="shared" ca="1" si="0"/>
        <v>82</v>
      </c>
      <c r="F28" s="2">
        <f t="shared" ca="1" si="1"/>
        <v>3526</v>
      </c>
      <c r="G28" s="2">
        <f t="shared" ca="1" si="2"/>
        <v>2573.98</v>
      </c>
      <c r="H28" s="2">
        <f t="shared" ca="1" si="3"/>
        <v>952.02</v>
      </c>
      <c r="I28">
        <f t="shared" ca="1" si="4"/>
        <v>12</v>
      </c>
      <c r="J28" s="2"/>
      <c r="K28" s="2"/>
      <c r="L28" s="2"/>
      <c r="M28" s="2"/>
      <c r="N28" s="2"/>
      <c r="O28" s="2"/>
      <c r="P28" s="2"/>
      <c r="Q28" s="2"/>
    </row>
    <row r="29" spans="1:17" x14ac:dyDescent="0.2">
      <c r="A29" s="1">
        <v>45931</v>
      </c>
      <c r="B29" t="str" cm="1">
        <f t="array" aca="1" ref="B29" ca="1">INDEX(Reference_Table!$A$1:$A$3,RANDBETWEEN(1,3))</f>
        <v>Clearwater</v>
      </c>
      <c r="C29" t="str" cm="1">
        <f t="array" aca="1" ref="C29" ca="1">INDEX(Reference_Table!$B$1:$B$3,RANDBETWEEN(1,3))</f>
        <v>Apparel</v>
      </c>
      <c r="D29" t="str" cm="1">
        <f t="array" aca="1" ref="D29" ca="1">IF(C29="Footwear",INDEX(Reference_Table!$C$1:$C$3,RANDBETWEEN(1,3)),
IF(C29="Apparel",INDEX(Reference_Table!$D$1:$D$3,RANDBETWEEN(1,3)),
INDEX(Reference_Table!$E$1:$E$3,RANDBETWEEN(1,3))))</f>
        <v>Adidas Joggers</v>
      </c>
      <c r="E29" s="2">
        <f t="shared" ca="1" si="0"/>
        <v>89</v>
      </c>
      <c r="F29" s="2">
        <f t="shared" ca="1" si="1"/>
        <v>7476</v>
      </c>
      <c r="G29" s="2">
        <f t="shared" ca="1" si="2"/>
        <v>4560.3599999999997</v>
      </c>
      <c r="H29" s="2">
        <f t="shared" ca="1" si="3"/>
        <v>2915.6400000000003</v>
      </c>
      <c r="I29">
        <f t="shared" ca="1" si="4"/>
        <v>35</v>
      </c>
      <c r="J29" s="2"/>
      <c r="K29" s="2"/>
      <c r="L29" s="2"/>
      <c r="M29" s="2"/>
      <c r="N29" s="2"/>
      <c r="O29" s="2"/>
      <c r="P29" s="2"/>
      <c r="Q29" s="2"/>
    </row>
    <row r="30" spans="1:17" x14ac:dyDescent="0.2">
      <c r="A30" s="1">
        <v>45931</v>
      </c>
      <c r="B30" t="str" cm="1">
        <f t="array" aca="1" ref="B30" ca="1">INDEX(Reference_Table!$A$1:$A$3,RANDBETWEEN(1,3))</f>
        <v>St. Petersburg</v>
      </c>
      <c r="C30" t="str" cm="1">
        <f t="array" aca="1" ref="C30" ca="1">INDEX(Reference_Table!$B$1:$B$3,RANDBETWEEN(1,3))</f>
        <v>Equipment</v>
      </c>
      <c r="D30" t="str" cm="1">
        <f t="array" aca="1" ref="D30" ca="1">IF(C30="Footwear",INDEX(Reference_Table!$C$1:$C$3,RANDBETWEEN(1,3)),
IF(C30="Apparel",INDEX(Reference_Table!$D$1:$D$3,RANDBETWEEN(1,3)),
INDEX(Reference_Table!$E$1:$E$3,RANDBETWEEN(1,3))))</f>
        <v>Yoga Mat</v>
      </c>
      <c r="E30" s="2">
        <f t="shared" ca="1" si="0"/>
        <v>45</v>
      </c>
      <c r="F30" s="2">
        <f t="shared" ca="1" si="1"/>
        <v>1395</v>
      </c>
      <c r="G30" s="2">
        <f t="shared" ca="1" si="2"/>
        <v>920.7</v>
      </c>
      <c r="H30" s="2">
        <f t="shared" ca="1" si="3"/>
        <v>474.29999999999995</v>
      </c>
      <c r="I30">
        <f t="shared" ca="1" si="4"/>
        <v>34</v>
      </c>
      <c r="J30" s="2"/>
      <c r="K30" s="2"/>
      <c r="L30" s="2"/>
      <c r="M30" s="2"/>
      <c r="N30" s="2"/>
      <c r="O30" s="2"/>
      <c r="P30" s="2"/>
      <c r="Q30" s="2"/>
    </row>
    <row r="31" spans="1:17" x14ac:dyDescent="0.2">
      <c r="A31" s="1">
        <v>45931</v>
      </c>
      <c r="B31" t="str" cm="1">
        <f t="array" aca="1" ref="B31" ca="1">INDEX(Reference_Table!$A$1:$A$3,RANDBETWEEN(1,3))</f>
        <v>Tampa</v>
      </c>
      <c r="C31" t="str" cm="1">
        <f t="array" aca="1" ref="C31" ca="1">INDEX(Reference_Table!$B$1:$B$3,RANDBETWEEN(1,3))</f>
        <v>Equipment</v>
      </c>
      <c r="D31" t="str" cm="1">
        <f t="array" aca="1" ref="D31" ca="1">IF(C31="Footwear",INDEX(Reference_Table!$C$1:$C$3,RANDBETWEEN(1,3)),
IF(C31="Apparel",INDEX(Reference_Table!$D$1:$D$3,RANDBETWEEN(1,3)),
INDEX(Reference_Table!$E$1:$E$3,RANDBETWEEN(1,3))))</f>
        <v>Yoga Mat</v>
      </c>
      <c r="E31" s="2">
        <f t="shared" ca="1" si="0"/>
        <v>8</v>
      </c>
      <c r="F31" s="2">
        <f t="shared" ca="1" si="1"/>
        <v>1048</v>
      </c>
      <c r="G31" s="2">
        <f t="shared" ca="1" si="2"/>
        <v>639.28</v>
      </c>
      <c r="H31" s="2">
        <f t="shared" ca="1" si="3"/>
        <v>408.72</v>
      </c>
      <c r="I31">
        <f t="shared" ca="1" si="4"/>
        <v>37</v>
      </c>
      <c r="J31" s="2"/>
      <c r="K31" s="2"/>
      <c r="L31" s="2"/>
      <c r="M31" s="2"/>
      <c r="N31" s="2"/>
      <c r="O31" s="2"/>
      <c r="P31" s="2"/>
      <c r="Q31" s="2"/>
    </row>
    <row r="32" spans="1:17" x14ac:dyDescent="0.2">
      <c r="A32" s="1">
        <v>45962</v>
      </c>
      <c r="B32" t="str" cm="1">
        <f t="array" aca="1" ref="B32" ca="1">INDEX(Reference_Table!$A$1:$A$3,RANDBETWEEN(1,3))</f>
        <v>St. Petersburg</v>
      </c>
      <c r="C32" t="str" cm="1">
        <f t="array" aca="1" ref="C32" ca="1">INDEX(Reference_Table!$B$1:$B$3,RANDBETWEEN(1,3))</f>
        <v>Apparel</v>
      </c>
      <c r="D32" t="str" cm="1">
        <f t="array" aca="1" ref="D32" ca="1">IF(C32="Footwear",INDEX(Reference_Table!$C$1:$C$3,RANDBETWEEN(1,3)),
IF(C32="Apparel",INDEX(Reference_Table!$D$1:$D$3,RANDBETWEEN(1,3)),
INDEX(Reference_Table!$E$1:$E$3,RANDBETWEEN(1,3))))</f>
        <v>Nike Shorts</v>
      </c>
      <c r="E32" s="2">
        <f t="shared" ca="1" si="0"/>
        <v>12</v>
      </c>
      <c r="F32" s="2">
        <f t="shared" ca="1" si="1"/>
        <v>384</v>
      </c>
      <c r="G32" s="2">
        <f t="shared" ca="1" si="2"/>
        <v>276.48</v>
      </c>
      <c r="H32" s="2">
        <f t="shared" ca="1" si="3"/>
        <v>107.51999999999998</v>
      </c>
      <c r="I32">
        <f t="shared" ca="1" si="4"/>
        <v>27</v>
      </c>
      <c r="J32" s="2"/>
      <c r="K32" s="2"/>
      <c r="L32" s="2"/>
      <c r="M32" s="2"/>
      <c r="N32" s="2"/>
      <c r="O32" s="2"/>
      <c r="P32" s="2"/>
      <c r="Q32" s="2"/>
    </row>
    <row r="33" spans="1:17" x14ac:dyDescent="0.2">
      <c r="A33" s="1">
        <v>45962</v>
      </c>
      <c r="B33" t="str" cm="1">
        <f t="array" aca="1" ref="B33" ca="1">INDEX(Reference_Table!$A$1:$A$3,RANDBETWEEN(1,3))</f>
        <v>St. Petersburg</v>
      </c>
      <c r="C33" t="str" cm="1">
        <f t="array" aca="1" ref="C33" ca="1">INDEX(Reference_Table!$B$1:$B$3,RANDBETWEEN(1,3))</f>
        <v>Equipment</v>
      </c>
      <c r="D33" t="str" cm="1">
        <f t="array" aca="1" ref="D33" ca="1">IF(C33="Footwear",INDEX(Reference_Table!$C$1:$C$3,RANDBETWEEN(1,3)),
IF(C33="Apparel",INDEX(Reference_Table!$D$1:$D$3,RANDBETWEEN(1,3)),
INDEX(Reference_Table!$E$1:$E$3,RANDBETWEEN(1,3))))</f>
        <v>Dumbbell Set</v>
      </c>
      <c r="E33" s="2">
        <f t="shared" ca="1" si="0"/>
        <v>19</v>
      </c>
      <c r="F33" s="2">
        <f t="shared" ca="1" si="1"/>
        <v>2641</v>
      </c>
      <c r="G33" s="2">
        <f t="shared" ca="1" si="2"/>
        <v>1637.42</v>
      </c>
      <c r="H33" s="2">
        <f t="shared" ca="1" si="3"/>
        <v>1003.5799999999999</v>
      </c>
      <c r="I33">
        <f t="shared" ca="1" si="4"/>
        <v>7</v>
      </c>
      <c r="J33" s="2"/>
      <c r="K33" s="2"/>
      <c r="L33" s="2"/>
      <c r="M33" s="2"/>
      <c r="N33" s="2"/>
      <c r="O33" s="2"/>
      <c r="P33" s="2"/>
      <c r="Q33" s="2"/>
    </row>
    <row r="34" spans="1:17" x14ac:dyDescent="0.2">
      <c r="A34" s="1">
        <v>45962</v>
      </c>
      <c r="B34" t="str" cm="1">
        <f t="array" aca="1" ref="B34" ca="1">INDEX(Reference_Table!$A$1:$A$3,RANDBETWEEN(1,3))</f>
        <v>Clearwater</v>
      </c>
      <c r="C34" t="str" cm="1">
        <f t="array" aca="1" ref="C34" ca="1">INDEX(Reference_Table!$B$1:$B$3,RANDBETWEEN(1,3))</f>
        <v>Apparel</v>
      </c>
      <c r="D34" t="str" cm="1">
        <f t="array" aca="1" ref="D34" ca="1">IF(C34="Footwear",INDEX(Reference_Table!$C$1:$C$3,RANDBETWEEN(1,3)),
IF(C34="Apparel",INDEX(Reference_Table!$D$1:$D$3,RANDBETWEEN(1,3)),
INDEX(Reference_Table!$E$1:$E$3,RANDBETWEEN(1,3))))</f>
        <v>Nike Shorts</v>
      </c>
      <c r="E34" s="2">
        <f t="shared" ca="1" si="0"/>
        <v>76</v>
      </c>
      <c r="F34" s="2">
        <f t="shared" ca="1" si="1"/>
        <v>1900</v>
      </c>
      <c r="G34" s="2">
        <f t="shared" ca="1" si="2"/>
        <v>1330</v>
      </c>
      <c r="H34" s="2">
        <f t="shared" ca="1" si="3"/>
        <v>570</v>
      </c>
      <c r="I34">
        <f t="shared" ca="1" si="4"/>
        <v>11</v>
      </c>
      <c r="J34" s="2"/>
      <c r="K34" s="2"/>
      <c r="L34" s="2"/>
      <c r="M34" s="2"/>
      <c r="N34" s="2"/>
      <c r="O34" s="2"/>
      <c r="P34" s="2"/>
      <c r="Q34" s="2"/>
    </row>
    <row r="35" spans="1:17" x14ac:dyDescent="0.2">
      <c r="A35" s="1">
        <v>45992</v>
      </c>
      <c r="B35" t="str" cm="1">
        <f t="array" aca="1" ref="B35" ca="1">INDEX(Reference_Table!$A$1:$A$3,RANDBETWEEN(1,3))</f>
        <v>St. Petersburg</v>
      </c>
      <c r="C35" t="str" cm="1">
        <f t="array" aca="1" ref="C35" ca="1">INDEX(Reference_Table!$B$1:$B$3,RANDBETWEEN(1,3))</f>
        <v>Apparel</v>
      </c>
      <c r="D35" t="str" cm="1">
        <f t="array" aca="1" ref="D35" ca="1">IF(C35="Footwear",INDEX(Reference_Table!$C$1:$C$3,RANDBETWEEN(1,3)),
IF(C35="Apparel",INDEX(Reference_Table!$D$1:$D$3,RANDBETWEEN(1,3)),
INDEX(Reference_Table!$E$1:$E$3,RANDBETWEEN(1,3))))</f>
        <v>Under Armour Hoodie</v>
      </c>
      <c r="E35" s="2">
        <f t="shared" ca="1" si="0"/>
        <v>15</v>
      </c>
      <c r="F35" s="2">
        <f t="shared" ca="1" si="1"/>
        <v>870</v>
      </c>
      <c r="G35" s="2">
        <f t="shared" ca="1" si="2"/>
        <v>582.9</v>
      </c>
      <c r="H35" s="2">
        <f t="shared" ca="1" si="3"/>
        <v>287.10000000000002</v>
      </c>
      <c r="I35">
        <f t="shared" ca="1" si="4"/>
        <v>2</v>
      </c>
      <c r="J35" s="2"/>
      <c r="K35" s="2"/>
      <c r="L35" s="2"/>
      <c r="M35" s="2"/>
      <c r="N35" s="2"/>
      <c r="O35" s="2"/>
      <c r="P35" s="2"/>
      <c r="Q35" s="2"/>
    </row>
    <row r="36" spans="1:17" x14ac:dyDescent="0.2">
      <c r="A36" s="1">
        <v>45992</v>
      </c>
      <c r="B36" t="str" cm="1">
        <f t="array" aca="1" ref="B36" ca="1">INDEX(Reference_Table!$A$1:$A$3,RANDBETWEEN(1,3))</f>
        <v>Tampa</v>
      </c>
      <c r="C36" t="str" cm="1">
        <f t="array" aca="1" ref="C36" ca="1">INDEX(Reference_Table!$B$1:$B$3,RANDBETWEEN(1,3))</f>
        <v>Equipment</v>
      </c>
      <c r="D36" t="str" cm="1">
        <f t="array" aca="1" ref="D36" ca="1">IF(C36="Footwear",INDEX(Reference_Table!$C$1:$C$3,RANDBETWEEN(1,3)),
IF(C36="Apparel",INDEX(Reference_Table!$D$1:$D$3,RANDBETWEEN(1,3)),
INDEX(Reference_Table!$E$1:$E$3,RANDBETWEEN(1,3))))</f>
        <v>Yoga Mat</v>
      </c>
      <c r="E36" s="2">
        <f t="shared" ca="1" si="0"/>
        <v>27</v>
      </c>
      <c r="F36" s="2">
        <f t="shared" ca="1" si="1"/>
        <v>1755</v>
      </c>
      <c r="G36" s="2">
        <f t="shared" ca="1" si="2"/>
        <v>1386.45</v>
      </c>
      <c r="H36" s="2">
        <f t="shared" ca="1" si="3"/>
        <v>368.54999999999995</v>
      </c>
      <c r="I36">
        <f t="shared" ca="1" si="4"/>
        <v>5</v>
      </c>
      <c r="J36" s="2"/>
      <c r="K36" s="2"/>
      <c r="L36" s="2"/>
      <c r="M36" s="2"/>
      <c r="N36" s="2"/>
      <c r="O36" s="2"/>
      <c r="P36" s="2"/>
      <c r="Q36" s="2"/>
    </row>
    <row r="37" spans="1:17" x14ac:dyDescent="0.2">
      <c r="A37" s="1">
        <v>45992</v>
      </c>
      <c r="B37" t="str" cm="1">
        <f t="array" aca="1" ref="B37" ca="1">INDEX(Reference_Table!$A$1:$A$3,RANDBETWEEN(1,3))</f>
        <v>St. Petersburg</v>
      </c>
      <c r="C37" t="str" cm="1">
        <f t="array" aca="1" ref="C37" ca="1">INDEX(Reference_Table!$B$1:$B$3,RANDBETWEEN(1,3))</f>
        <v>Footwear</v>
      </c>
      <c r="D37" t="str" cm="1">
        <f t="array" aca="1" ref="D37" ca="1">IF(C37="Footwear",INDEX(Reference_Table!$C$1:$C$3,RANDBETWEEN(1,3)),
IF(C37="Apparel",INDEX(Reference_Table!$D$1:$D$3,RANDBETWEEN(1,3)),
INDEX(Reference_Table!$E$1:$E$3,RANDBETWEEN(1,3))))</f>
        <v>Brooks Running</v>
      </c>
      <c r="E37" s="2">
        <f t="shared" ca="1" si="0"/>
        <v>29</v>
      </c>
      <c r="F37" s="2">
        <f t="shared" ca="1" si="1"/>
        <v>3741</v>
      </c>
      <c r="G37" s="2">
        <f t="shared" ca="1" si="2"/>
        <v>2319.42</v>
      </c>
      <c r="H37" s="2">
        <f t="shared" ca="1" si="3"/>
        <v>1421.58</v>
      </c>
      <c r="I37">
        <f t="shared" ca="1" si="4"/>
        <v>3</v>
      </c>
      <c r="J37" s="2"/>
      <c r="K37" s="2"/>
      <c r="L37" s="2"/>
      <c r="M37" s="2"/>
      <c r="N37" s="2"/>
      <c r="O37" s="2"/>
      <c r="P37" s="2"/>
      <c r="Q37" s="2"/>
    </row>
    <row r="38" spans="1:17" x14ac:dyDescent="0.2">
      <c r="A38" s="1">
        <v>46023</v>
      </c>
      <c r="B38" t="str" cm="1">
        <f t="array" aca="1" ref="B38" ca="1">INDEX(Reference_Table!$A$1:$A$3,RANDBETWEEN(1,3))</f>
        <v>Tampa</v>
      </c>
      <c r="C38" t="str" cm="1">
        <f t="array" aca="1" ref="C38" ca="1">INDEX(Reference_Table!$B$1:$B$3,RANDBETWEEN(1,3))</f>
        <v>Apparel</v>
      </c>
      <c r="D38" t="str" cm="1">
        <f t="array" aca="1" ref="D38" ca="1">IF(C38="Footwear",INDEX(Reference_Table!$C$1:$C$3,RANDBETWEEN(1,3)),
IF(C38="Apparel",INDEX(Reference_Table!$D$1:$D$3,RANDBETWEEN(1,3)),
INDEX(Reference_Table!$E$1:$E$3,RANDBETWEEN(1,3))))</f>
        <v>Nike Shorts</v>
      </c>
      <c r="E38" s="2">
        <f t="shared" ca="1" si="0"/>
        <v>97</v>
      </c>
      <c r="F38" s="2">
        <f t="shared" ca="1" si="1"/>
        <v>4753</v>
      </c>
      <c r="G38" s="2">
        <f t="shared" ca="1" si="2"/>
        <v>3041.92</v>
      </c>
      <c r="H38" s="2">
        <f t="shared" ca="1" si="3"/>
        <v>1711.08</v>
      </c>
      <c r="I38">
        <f t="shared" ca="1" si="4"/>
        <v>29</v>
      </c>
      <c r="J38" s="2"/>
      <c r="K38" s="2"/>
      <c r="L38" s="2"/>
      <c r="M38" s="2"/>
      <c r="N38" s="2"/>
      <c r="O38" s="2"/>
      <c r="P38" s="2"/>
      <c r="Q38" s="2"/>
    </row>
    <row r="39" spans="1:17" x14ac:dyDescent="0.2">
      <c r="A39" s="1">
        <v>46023</v>
      </c>
      <c r="B39" t="str" cm="1">
        <f t="array" aca="1" ref="B39" ca="1">INDEX(Reference_Table!$A$1:$A$3,RANDBETWEEN(1,3))</f>
        <v>St. Petersburg</v>
      </c>
      <c r="C39" t="str" cm="1">
        <f t="array" aca="1" ref="C39" ca="1">INDEX(Reference_Table!$B$1:$B$3,RANDBETWEEN(1,3))</f>
        <v>Equipment</v>
      </c>
      <c r="D39" t="str" cm="1">
        <f t="array" aca="1" ref="D39" ca="1">IF(C39="Footwear",INDEX(Reference_Table!$C$1:$C$3,RANDBETWEEN(1,3)),
IF(C39="Apparel",INDEX(Reference_Table!$D$1:$D$3,RANDBETWEEN(1,3)),
INDEX(Reference_Table!$E$1:$E$3,RANDBETWEEN(1,3))))</f>
        <v>Yoga Mat</v>
      </c>
      <c r="E39" s="2">
        <f t="shared" ca="1" si="0"/>
        <v>65</v>
      </c>
      <c r="F39" s="2">
        <f t="shared" ca="1" si="1"/>
        <v>12090</v>
      </c>
      <c r="G39" s="2">
        <f t="shared" ca="1" si="2"/>
        <v>9430.2000000000007</v>
      </c>
      <c r="H39" s="2">
        <f t="shared" ca="1" si="3"/>
        <v>2659.7999999999993</v>
      </c>
      <c r="I39">
        <f t="shared" ca="1" si="4"/>
        <v>26</v>
      </c>
      <c r="J39" s="2"/>
      <c r="K39" s="2"/>
      <c r="L39" s="2"/>
      <c r="M39" s="2"/>
      <c r="N39" s="2"/>
      <c r="O39" s="2"/>
      <c r="P39" s="2"/>
      <c r="Q39" s="2"/>
    </row>
    <row r="40" spans="1:17" x14ac:dyDescent="0.2">
      <c r="A40" s="1">
        <v>46023</v>
      </c>
      <c r="B40" t="str" cm="1">
        <f t="array" aca="1" ref="B40" ca="1">INDEX(Reference_Table!$A$1:$A$3,RANDBETWEEN(1,3))</f>
        <v>St. Petersburg</v>
      </c>
      <c r="C40" t="str" cm="1">
        <f t="array" aca="1" ref="C40" ca="1">INDEX(Reference_Table!$B$1:$B$3,RANDBETWEEN(1,3))</f>
        <v>Apparel</v>
      </c>
      <c r="D40" t="str" cm="1">
        <f t="array" aca="1" ref="D40" ca="1">IF(C40="Footwear",INDEX(Reference_Table!$C$1:$C$3,RANDBETWEEN(1,3)),
IF(C40="Apparel",INDEX(Reference_Table!$D$1:$D$3,RANDBETWEEN(1,3)),
INDEX(Reference_Table!$E$1:$E$3,RANDBETWEEN(1,3))))</f>
        <v>Under Armour Hoodie</v>
      </c>
      <c r="E40" s="2">
        <f t="shared" ca="1" si="0"/>
        <v>58</v>
      </c>
      <c r="F40" s="2">
        <f t="shared" ca="1" si="1"/>
        <v>2494</v>
      </c>
      <c r="G40" s="2">
        <f t="shared" ca="1" si="2"/>
        <v>1795.68</v>
      </c>
      <c r="H40" s="2">
        <f t="shared" ca="1" si="3"/>
        <v>698.31999999999994</v>
      </c>
      <c r="I40">
        <f t="shared" ca="1" si="4"/>
        <v>8</v>
      </c>
      <c r="J40" s="2"/>
      <c r="K40" s="2"/>
      <c r="L40" s="2"/>
      <c r="M40" s="2"/>
      <c r="N40" s="2"/>
      <c r="O40" s="2"/>
      <c r="P40" s="2"/>
      <c r="Q40" s="2"/>
    </row>
    <row r="41" spans="1:17" x14ac:dyDescent="0.2">
      <c r="A41" s="1">
        <v>46054</v>
      </c>
      <c r="B41" t="str" cm="1">
        <f t="array" aca="1" ref="B41" ca="1">INDEX(Reference_Table!$A$1:$A$3,RANDBETWEEN(1,3))</f>
        <v>St. Petersburg</v>
      </c>
      <c r="C41" t="str" cm="1">
        <f t="array" aca="1" ref="C41" ca="1">INDEX(Reference_Table!$B$1:$B$3,RANDBETWEEN(1,3))</f>
        <v>Footwear</v>
      </c>
      <c r="D41" t="str" cm="1">
        <f t="array" aca="1" ref="D41" ca="1">IF(C41="Footwear",INDEX(Reference_Table!$C$1:$C$3,RANDBETWEEN(1,3)),
IF(C41="Apparel",INDEX(Reference_Table!$D$1:$D$3,RANDBETWEEN(1,3)),
INDEX(Reference_Table!$E$1:$E$3,RANDBETWEEN(1,3))))</f>
        <v>Adidas Sneakers</v>
      </c>
      <c r="E41" s="2">
        <f t="shared" ca="1" si="0"/>
        <v>61</v>
      </c>
      <c r="F41" s="2">
        <f t="shared" ca="1" si="1"/>
        <v>3294</v>
      </c>
      <c r="G41" s="2">
        <f t="shared" ca="1" si="2"/>
        <v>2371.6799999999998</v>
      </c>
      <c r="H41" s="2">
        <f t="shared" ca="1" si="3"/>
        <v>922.32000000000016</v>
      </c>
      <c r="I41">
        <f t="shared" ca="1" si="4"/>
        <v>7</v>
      </c>
      <c r="J41" s="2"/>
      <c r="K41" s="2"/>
      <c r="L41" s="2"/>
      <c r="M41" s="2"/>
      <c r="N41" s="2"/>
      <c r="O41" s="2"/>
      <c r="P41" s="2"/>
      <c r="Q41" s="2"/>
    </row>
    <row r="42" spans="1:17" x14ac:dyDescent="0.2">
      <c r="A42" s="1">
        <v>46054</v>
      </c>
      <c r="B42" t="str" cm="1">
        <f t="array" aca="1" ref="B42" ca="1">INDEX(Reference_Table!$A$1:$A$3,RANDBETWEEN(1,3))</f>
        <v>St. Petersburg</v>
      </c>
      <c r="C42" t="str" cm="1">
        <f t="array" aca="1" ref="C42" ca="1">INDEX(Reference_Table!$B$1:$B$3,RANDBETWEEN(1,3))</f>
        <v>Equipment</v>
      </c>
      <c r="D42" t="str" cm="1">
        <f t="array" aca="1" ref="D42" ca="1">IF(C42="Footwear",INDEX(Reference_Table!$C$1:$C$3,RANDBETWEEN(1,3)),
IF(C42="Apparel",INDEX(Reference_Table!$D$1:$D$3,RANDBETWEEN(1,3)),
INDEX(Reference_Table!$E$1:$E$3,RANDBETWEEN(1,3))))</f>
        <v>Kettlebell</v>
      </c>
      <c r="E42" s="2">
        <f t="shared" ca="1" si="0"/>
        <v>6</v>
      </c>
      <c r="F42" s="2">
        <f t="shared" ca="1" si="1"/>
        <v>186</v>
      </c>
      <c r="G42" s="2">
        <f t="shared" ca="1" si="2"/>
        <v>145.08000000000001</v>
      </c>
      <c r="H42" s="2">
        <f t="shared" ca="1" si="3"/>
        <v>40.919999999999987</v>
      </c>
      <c r="I42">
        <f t="shared" ca="1" si="4"/>
        <v>32</v>
      </c>
      <c r="J42" s="2"/>
      <c r="K42" s="2"/>
      <c r="L42" s="2"/>
      <c r="M42" s="2"/>
      <c r="N42" s="2"/>
      <c r="O42" s="2"/>
      <c r="P42" s="2"/>
      <c r="Q42" s="2"/>
    </row>
    <row r="43" spans="1:17" x14ac:dyDescent="0.2">
      <c r="A43" s="1">
        <v>46054</v>
      </c>
      <c r="B43" t="str" cm="1">
        <f t="array" aca="1" ref="B43" ca="1">INDEX(Reference_Table!$A$1:$A$3,RANDBETWEEN(1,3))</f>
        <v>St. Petersburg</v>
      </c>
      <c r="C43" t="str" cm="1">
        <f t="array" aca="1" ref="C43" ca="1">INDEX(Reference_Table!$B$1:$B$3,RANDBETWEEN(1,3))</f>
        <v>Footwear</v>
      </c>
      <c r="D43" t="str" cm="1">
        <f t="array" aca="1" ref="D43" ca="1">IF(C43="Footwear",INDEX(Reference_Table!$C$1:$C$3,RANDBETWEEN(1,3)),
IF(C43="Apparel",INDEX(Reference_Table!$D$1:$D$3,RANDBETWEEN(1,3)),
INDEX(Reference_Table!$E$1:$E$3,RANDBETWEEN(1,3))))</f>
        <v>Nike Running</v>
      </c>
      <c r="E43" s="2">
        <f t="shared" ca="1" si="0"/>
        <v>11</v>
      </c>
      <c r="F43" s="2">
        <f t="shared" ca="1" si="1"/>
        <v>836</v>
      </c>
      <c r="G43" s="2">
        <f t="shared" ca="1" si="2"/>
        <v>518.32000000000005</v>
      </c>
      <c r="H43" s="2">
        <f t="shared" ca="1" si="3"/>
        <v>317.67999999999995</v>
      </c>
      <c r="I43">
        <f t="shared" ca="1" si="4"/>
        <v>22</v>
      </c>
      <c r="J43" s="2"/>
      <c r="K43" s="2"/>
      <c r="L43" s="2"/>
      <c r="M43" s="2"/>
      <c r="N43" s="2"/>
      <c r="O43" s="2"/>
      <c r="P43" s="2"/>
      <c r="Q43" s="2"/>
    </row>
    <row r="44" spans="1:17" x14ac:dyDescent="0.2">
      <c r="A44" s="1">
        <v>45717</v>
      </c>
      <c r="B44" t="str" cm="1">
        <f t="array" aca="1" ref="B44" ca="1">INDEX(Reference_Table!$A$1:$A$3,RANDBETWEEN(1,3))</f>
        <v>Clearwater</v>
      </c>
      <c r="C44" t="str" cm="1">
        <f t="array" aca="1" ref="C44" ca="1">INDEX(Reference_Table!$B$1:$B$3,RANDBETWEEN(1,3))</f>
        <v>Footwear</v>
      </c>
      <c r="D44" t="str" cm="1">
        <f t="array" aca="1" ref="D44" ca="1">IF(C44="Footwear",INDEX(Reference_Table!$C$1:$C$3,RANDBETWEEN(1,3)),
IF(C44="Apparel",INDEX(Reference_Table!$D$1:$D$3,RANDBETWEEN(1,3)),
INDEX(Reference_Table!$E$1:$E$3,RANDBETWEEN(1,3))))</f>
        <v>Nike Running</v>
      </c>
      <c r="E44" s="2">
        <f t="shared" ca="1" si="0"/>
        <v>33</v>
      </c>
      <c r="F44" s="2">
        <f t="shared" ca="1" si="1"/>
        <v>3234</v>
      </c>
      <c r="G44" s="2">
        <f t="shared" ca="1" si="2"/>
        <v>1940.4</v>
      </c>
      <c r="H44" s="2">
        <f t="shared" ca="1" si="3"/>
        <v>1293.5999999999999</v>
      </c>
      <c r="I44">
        <f t="shared" ca="1" si="4"/>
        <v>24</v>
      </c>
      <c r="J44" s="2"/>
      <c r="K44" s="2"/>
      <c r="L44" s="2"/>
      <c r="M44" s="2"/>
      <c r="N44" s="2"/>
      <c r="O44" s="2"/>
      <c r="P44" s="2"/>
      <c r="Q44" s="2"/>
    </row>
    <row r="45" spans="1:17" x14ac:dyDescent="0.2">
      <c r="A45" s="1">
        <v>45717</v>
      </c>
      <c r="B45" t="str" cm="1">
        <f t="array" aca="1" ref="B45" ca="1">INDEX(Reference_Table!$A$1:$A$3,RANDBETWEEN(1,3))</f>
        <v>Tampa</v>
      </c>
      <c r="C45" t="str" cm="1">
        <f t="array" aca="1" ref="C45" ca="1">INDEX(Reference_Table!$B$1:$B$3,RANDBETWEEN(1,3))</f>
        <v>Equipment</v>
      </c>
      <c r="D45" t="str" cm="1">
        <f t="array" aca="1" ref="D45" ca="1">IF(C45="Footwear",INDEX(Reference_Table!$C$1:$C$3,RANDBETWEEN(1,3)),
IF(C45="Apparel",INDEX(Reference_Table!$D$1:$D$3,RANDBETWEEN(1,3)),
INDEX(Reference_Table!$E$1:$E$3,RANDBETWEEN(1,3))))</f>
        <v>Dumbbell Set</v>
      </c>
      <c r="E45" s="2">
        <f t="shared" ca="1" si="0"/>
        <v>6</v>
      </c>
      <c r="F45" s="2">
        <f t="shared" ca="1" si="1"/>
        <v>714</v>
      </c>
      <c r="G45" s="2">
        <f t="shared" ca="1" si="2"/>
        <v>499.8</v>
      </c>
      <c r="H45" s="2">
        <f t="shared" ca="1" si="3"/>
        <v>214.2</v>
      </c>
      <c r="I45">
        <f t="shared" ca="1" si="4"/>
        <v>33</v>
      </c>
      <c r="J45" s="2"/>
      <c r="K45" s="2"/>
      <c r="L45" s="2"/>
      <c r="M45" s="2"/>
      <c r="N45" s="2"/>
      <c r="O45" s="2"/>
      <c r="P45" s="2"/>
      <c r="Q45" s="2"/>
    </row>
    <row r="46" spans="1:17" x14ac:dyDescent="0.2">
      <c r="A46" s="1">
        <v>45717</v>
      </c>
      <c r="B46" t="str" cm="1">
        <f t="array" aca="1" ref="B46" ca="1">INDEX(Reference_Table!$A$1:$A$3,RANDBETWEEN(1,3))</f>
        <v>Tampa</v>
      </c>
      <c r="C46" t="str" cm="1">
        <f t="array" aca="1" ref="C46" ca="1">INDEX(Reference_Table!$B$1:$B$3,RANDBETWEEN(1,3))</f>
        <v>Apparel</v>
      </c>
      <c r="D46" t="str" cm="1">
        <f t="array" aca="1" ref="D46" ca="1">IF(C46="Footwear",INDEX(Reference_Table!$C$1:$C$3,RANDBETWEEN(1,3)),
IF(C46="Apparel",INDEX(Reference_Table!$D$1:$D$3,RANDBETWEEN(1,3)),
INDEX(Reference_Table!$E$1:$E$3,RANDBETWEEN(1,3))))</f>
        <v>Adidas Joggers</v>
      </c>
      <c r="E46" s="2">
        <f t="shared" ca="1" si="0"/>
        <v>32</v>
      </c>
      <c r="F46" s="2">
        <f t="shared" ca="1" si="1"/>
        <v>3072</v>
      </c>
      <c r="G46" s="2">
        <f t="shared" ca="1" si="2"/>
        <v>2365.44</v>
      </c>
      <c r="H46" s="2">
        <f t="shared" ca="1" si="3"/>
        <v>706.56</v>
      </c>
      <c r="I46">
        <f t="shared" ca="1" si="4"/>
        <v>17</v>
      </c>
      <c r="J46" s="2"/>
      <c r="K46" s="2"/>
      <c r="L46" s="2"/>
      <c r="M46" s="2"/>
      <c r="N46" s="2"/>
      <c r="O46" s="2"/>
      <c r="P46" s="2"/>
      <c r="Q46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1C95A-17AF-3242-BFBF-9119F01B5D07}">
  <dimension ref="A1:E3"/>
  <sheetViews>
    <sheetView workbookViewId="0">
      <selection activeCell="E3" sqref="E3"/>
    </sheetView>
  </sheetViews>
  <sheetFormatPr baseColWidth="10" defaultRowHeight="16" x14ac:dyDescent="0.2"/>
  <sheetData>
    <row r="1" spans="1:5" x14ac:dyDescent="0.2">
      <c r="A1" t="s">
        <v>9</v>
      </c>
      <c r="B1" t="s">
        <v>12</v>
      </c>
      <c r="C1" t="s">
        <v>15</v>
      </c>
      <c r="D1" t="s">
        <v>18</v>
      </c>
      <c r="E1" t="s">
        <v>21</v>
      </c>
    </row>
    <row r="2" spans="1:5" x14ac:dyDescent="0.2">
      <c r="A2" t="s">
        <v>10</v>
      </c>
      <c r="B2" t="s">
        <v>13</v>
      </c>
      <c r="C2" t="s">
        <v>16</v>
      </c>
      <c r="D2" t="s">
        <v>19</v>
      </c>
      <c r="E2" t="s">
        <v>22</v>
      </c>
    </row>
    <row r="3" spans="1:5" x14ac:dyDescent="0.2">
      <c r="A3" t="s">
        <v>11</v>
      </c>
      <c r="B3" t="s">
        <v>14</v>
      </c>
      <c r="C3" t="s">
        <v>17</v>
      </c>
      <c r="D3" t="s">
        <v>20</v>
      </c>
      <c r="E3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7E77F-DEE0-DD46-8130-A57F69963F9B}">
  <dimension ref="A1:I43"/>
  <sheetViews>
    <sheetView zoomScale="65" workbookViewId="0">
      <selection activeCell="A23" sqref="A23:B36"/>
    </sheetView>
  </sheetViews>
  <sheetFormatPr baseColWidth="10" defaultRowHeight="16" x14ac:dyDescent="0.2"/>
  <cols>
    <col min="1" max="1" width="13" bestFit="1" customWidth="1"/>
    <col min="2" max="2" width="11.83203125" bestFit="1" customWidth="1"/>
    <col min="3" max="3" width="14.1640625" bestFit="1" customWidth="1"/>
    <col min="4" max="4" width="18.5" bestFit="1" customWidth="1"/>
    <col min="5" max="5" width="15" bestFit="1" customWidth="1"/>
    <col min="6" max="6" width="20.83203125" bestFit="1" customWidth="1"/>
    <col min="7" max="7" width="14.1640625" bestFit="1" customWidth="1"/>
    <col min="8" max="8" width="11.1640625" bestFit="1" customWidth="1"/>
    <col min="9" max="9" width="11.83203125" bestFit="1" customWidth="1"/>
  </cols>
  <sheetData>
    <row r="1" spans="1:9" x14ac:dyDescent="0.2">
      <c r="A1" s="3" t="s">
        <v>24</v>
      </c>
      <c r="B1" t="s">
        <v>38</v>
      </c>
      <c r="D1" s="3" t="s">
        <v>24</v>
      </c>
      <c r="E1" t="s">
        <v>38</v>
      </c>
      <c r="F1" s="3" t="s">
        <v>24</v>
      </c>
      <c r="G1" t="s">
        <v>38</v>
      </c>
      <c r="H1" t="s">
        <v>39</v>
      </c>
      <c r="I1" t="s">
        <v>41</v>
      </c>
    </row>
    <row r="2" spans="1:9" x14ac:dyDescent="0.2">
      <c r="A2" s="4" t="s">
        <v>26</v>
      </c>
      <c r="B2" s="2">
        <v>27383</v>
      </c>
      <c r="D2" s="4" t="s">
        <v>20</v>
      </c>
      <c r="E2" s="2">
        <v>19028</v>
      </c>
      <c r="F2" s="4" t="s">
        <v>20</v>
      </c>
      <c r="G2" s="2">
        <v>19028</v>
      </c>
      <c r="H2" s="2">
        <v>13804.650000000001</v>
      </c>
      <c r="I2" s="2">
        <v>5223.3500000000004</v>
      </c>
    </row>
    <row r="3" spans="1:9" x14ac:dyDescent="0.2">
      <c r="A3" s="4" t="s">
        <v>27</v>
      </c>
      <c r="B3" s="2">
        <v>40863</v>
      </c>
      <c r="D3" s="4" t="s">
        <v>16</v>
      </c>
      <c r="E3" s="2">
        <v>34453</v>
      </c>
      <c r="F3" s="5" t="s">
        <v>13</v>
      </c>
      <c r="G3" s="2">
        <v>19028</v>
      </c>
      <c r="H3" s="2">
        <v>13804.650000000001</v>
      </c>
      <c r="I3" s="2">
        <v>5223.3500000000004</v>
      </c>
    </row>
    <row r="4" spans="1:9" x14ac:dyDescent="0.2">
      <c r="A4" s="4" t="s">
        <v>28</v>
      </c>
      <c r="B4" s="2">
        <v>25613</v>
      </c>
      <c r="D4" s="4" t="s">
        <v>17</v>
      </c>
      <c r="E4" s="2">
        <v>56027</v>
      </c>
      <c r="F4" s="6" t="s">
        <v>10</v>
      </c>
      <c r="G4" s="2">
        <v>4524</v>
      </c>
      <c r="H4" s="2">
        <v>2940.6</v>
      </c>
      <c r="I4" s="2">
        <v>1583.4</v>
      </c>
    </row>
    <row r="5" spans="1:9" x14ac:dyDescent="0.2">
      <c r="A5" s="4" t="s">
        <v>29</v>
      </c>
      <c r="B5" s="2">
        <v>21430</v>
      </c>
      <c r="D5" s="4" t="s">
        <v>22</v>
      </c>
      <c r="E5" s="2">
        <v>40141</v>
      </c>
      <c r="F5" s="6" t="s">
        <v>11</v>
      </c>
      <c r="G5" s="2">
        <v>12595</v>
      </c>
      <c r="H5" s="2">
        <v>9565.93</v>
      </c>
      <c r="I5" s="2">
        <v>3029.07</v>
      </c>
    </row>
    <row r="6" spans="1:9" x14ac:dyDescent="0.2">
      <c r="A6" s="4" t="s">
        <v>30</v>
      </c>
      <c r="B6" s="2">
        <v>14255</v>
      </c>
      <c r="D6" s="4" t="s">
        <v>23</v>
      </c>
      <c r="E6" s="2">
        <v>39123</v>
      </c>
      <c r="F6" s="6" t="s">
        <v>9</v>
      </c>
      <c r="G6" s="2">
        <v>1909</v>
      </c>
      <c r="H6" s="2">
        <v>1298.1199999999999</v>
      </c>
      <c r="I6" s="2">
        <v>610.88000000000011</v>
      </c>
    </row>
    <row r="7" spans="1:9" x14ac:dyDescent="0.2">
      <c r="A7" s="4" t="s">
        <v>31</v>
      </c>
      <c r="B7" s="2">
        <v>20001</v>
      </c>
      <c r="D7" s="4" t="s">
        <v>15</v>
      </c>
      <c r="E7" s="2">
        <v>18414</v>
      </c>
      <c r="F7" s="4" t="s">
        <v>16</v>
      </c>
      <c r="G7" s="2">
        <v>34453</v>
      </c>
      <c r="H7" s="2">
        <v>23004.95</v>
      </c>
      <c r="I7" s="2">
        <v>11448.05</v>
      </c>
    </row>
    <row r="8" spans="1:9" x14ac:dyDescent="0.2">
      <c r="A8" s="4" t="s">
        <v>32</v>
      </c>
      <c r="B8" s="2">
        <v>10038</v>
      </c>
      <c r="D8" s="4" t="s">
        <v>19</v>
      </c>
      <c r="E8" s="2">
        <v>9622</v>
      </c>
      <c r="F8" s="5" t="s">
        <v>12</v>
      </c>
      <c r="G8" s="2">
        <v>34453</v>
      </c>
      <c r="H8" s="2">
        <v>23004.95</v>
      </c>
      <c r="I8" s="2">
        <v>11448.05</v>
      </c>
    </row>
    <row r="9" spans="1:9" x14ac:dyDescent="0.2">
      <c r="A9" s="4" t="s">
        <v>33</v>
      </c>
      <c r="B9" s="2">
        <v>28083</v>
      </c>
      <c r="D9" s="4" t="s">
        <v>18</v>
      </c>
      <c r="E9" s="2">
        <v>7653</v>
      </c>
      <c r="F9" s="6" t="s">
        <v>10</v>
      </c>
      <c r="G9" s="2">
        <v>24722</v>
      </c>
      <c r="H9" s="2">
        <v>16650.599999999999</v>
      </c>
      <c r="I9" s="2">
        <v>8071.4000000000005</v>
      </c>
    </row>
    <row r="10" spans="1:9" x14ac:dyDescent="0.2">
      <c r="A10" s="4" t="s">
        <v>34</v>
      </c>
      <c r="B10" s="2">
        <v>26102</v>
      </c>
      <c r="D10" s="4" t="s">
        <v>21</v>
      </c>
      <c r="E10" s="2">
        <v>30442</v>
      </c>
      <c r="F10" s="6" t="s">
        <v>11</v>
      </c>
      <c r="G10" s="2">
        <v>6811</v>
      </c>
      <c r="H10" s="2">
        <v>4427.1499999999996</v>
      </c>
      <c r="I10" s="2">
        <v>2383.8500000000004</v>
      </c>
    </row>
    <row r="11" spans="1:9" x14ac:dyDescent="0.2">
      <c r="A11" s="4" t="s">
        <v>35</v>
      </c>
      <c r="B11" s="2">
        <v>9325</v>
      </c>
      <c r="D11" s="4" t="s">
        <v>25</v>
      </c>
      <c r="E11" s="2">
        <v>254903</v>
      </c>
      <c r="F11" s="6" t="s">
        <v>9</v>
      </c>
      <c r="G11" s="2">
        <v>2920</v>
      </c>
      <c r="H11" s="2">
        <v>1927.2</v>
      </c>
      <c r="I11" s="2">
        <v>992.8</v>
      </c>
    </row>
    <row r="12" spans="1:9" x14ac:dyDescent="0.2">
      <c r="A12" s="4" t="s">
        <v>36</v>
      </c>
      <c r="B12" s="2">
        <v>17007</v>
      </c>
      <c r="D12" s="3" t="s">
        <v>24</v>
      </c>
      <c r="E12" t="s">
        <v>40</v>
      </c>
      <c r="F12" s="4" t="s">
        <v>17</v>
      </c>
      <c r="G12" s="2">
        <v>56027</v>
      </c>
      <c r="H12" s="2">
        <v>38868.570000000007</v>
      </c>
      <c r="I12" s="2">
        <v>17158.43</v>
      </c>
    </row>
    <row r="13" spans="1:9" x14ac:dyDescent="0.2">
      <c r="A13" s="4" t="s">
        <v>37</v>
      </c>
      <c r="B13" s="2">
        <v>14803</v>
      </c>
      <c r="D13" s="4" t="s">
        <v>20</v>
      </c>
      <c r="E13">
        <v>125</v>
      </c>
      <c r="F13" s="5" t="s">
        <v>12</v>
      </c>
      <c r="G13" s="2">
        <v>56027</v>
      </c>
      <c r="H13" s="2">
        <v>38868.570000000007</v>
      </c>
      <c r="I13" s="2">
        <v>17158.43</v>
      </c>
    </row>
    <row r="14" spans="1:9" x14ac:dyDescent="0.2">
      <c r="A14" s="4" t="s">
        <v>25</v>
      </c>
      <c r="B14" s="2">
        <v>254903</v>
      </c>
      <c r="D14" s="4" t="s">
        <v>16</v>
      </c>
      <c r="E14">
        <v>92</v>
      </c>
      <c r="F14" s="6" t="s">
        <v>10</v>
      </c>
      <c r="G14" s="2">
        <v>26686</v>
      </c>
      <c r="H14" s="2">
        <v>17998.52</v>
      </c>
      <c r="I14" s="2">
        <v>8687.48</v>
      </c>
    </row>
    <row r="15" spans="1:9" x14ac:dyDescent="0.2">
      <c r="A15" s="3" t="s">
        <v>24</v>
      </c>
      <c r="B15" t="s">
        <v>38</v>
      </c>
      <c r="D15" s="4" t="s">
        <v>17</v>
      </c>
      <c r="E15">
        <v>138</v>
      </c>
      <c r="F15" s="6" t="s">
        <v>9</v>
      </c>
      <c r="G15" s="2">
        <v>29341</v>
      </c>
      <c r="H15" s="2">
        <v>20870.050000000003</v>
      </c>
      <c r="I15" s="2">
        <v>8470.9499999999989</v>
      </c>
    </row>
    <row r="16" spans="1:9" x14ac:dyDescent="0.2">
      <c r="A16" s="4" t="s">
        <v>13</v>
      </c>
      <c r="B16" s="2">
        <v>36303</v>
      </c>
      <c r="D16" s="4" t="s">
        <v>22</v>
      </c>
      <c r="E16">
        <v>118</v>
      </c>
      <c r="F16" s="4" t="s">
        <v>22</v>
      </c>
      <c r="G16" s="2">
        <v>40141</v>
      </c>
      <c r="H16" s="2">
        <v>30104.469999999998</v>
      </c>
      <c r="I16" s="2">
        <v>10036.530000000001</v>
      </c>
    </row>
    <row r="17" spans="1:9" x14ac:dyDescent="0.2">
      <c r="A17" s="4" t="s">
        <v>14</v>
      </c>
      <c r="B17" s="2">
        <v>109706</v>
      </c>
      <c r="D17" s="4" t="s">
        <v>23</v>
      </c>
      <c r="E17">
        <v>69</v>
      </c>
      <c r="F17" s="5" t="s">
        <v>14</v>
      </c>
      <c r="G17" s="2">
        <v>40141</v>
      </c>
      <c r="H17" s="2">
        <v>30104.469999999998</v>
      </c>
      <c r="I17" s="2">
        <v>10036.530000000001</v>
      </c>
    </row>
    <row r="18" spans="1:9" x14ac:dyDescent="0.2">
      <c r="A18" s="4" t="s">
        <v>12</v>
      </c>
      <c r="B18" s="2">
        <v>108894</v>
      </c>
      <c r="D18" s="4" t="s">
        <v>15</v>
      </c>
      <c r="E18">
        <v>84</v>
      </c>
      <c r="F18" s="6" t="s">
        <v>10</v>
      </c>
      <c r="G18" s="2">
        <v>19921</v>
      </c>
      <c r="H18" s="2">
        <v>14889.369999999999</v>
      </c>
      <c r="I18" s="2">
        <v>5031.63</v>
      </c>
    </row>
    <row r="19" spans="1:9" x14ac:dyDescent="0.2">
      <c r="A19" s="4" t="s">
        <v>25</v>
      </c>
      <c r="B19" s="2">
        <v>254903</v>
      </c>
      <c r="D19" s="4" t="s">
        <v>19</v>
      </c>
      <c r="E19">
        <v>85</v>
      </c>
      <c r="F19" s="6" t="s">
        <v>11</v>
      </c>
      <c r="G19" s="2">
        <v>13688</v>
      </c>
      <c r="H19" s="2">
        <v>10250.779999999999</v>
      </c>
      <c r="I19" s="2">
        <v>3437.2200000000003</v>
      </c>
    </row>
    <row r="20" spans="1:9" x14ac:dyDescent="0.2">
      <c r="D20" s="4" t="s">
        <v>18</v>
      </c>
      <c r="E20">
        <v>72</v>
      </c>
      <c r="F20" s="6" t="s">
        <v>9</v>
      </c>
      <c r="G20" s="2">
        <v>6532</v>
      </c>
      <c r="H20" s="2">
        <v>4964.32</v>
      </c>
      <c r="I20" s="2">
        <v>1567.6800000000003</v>
      </c>
    </row>
    <row r="21" spans="1:9" x14ac:dyDescent="0.2">
      <c r="D21" s="4" t="s">
        <v>21</v>
      </c>
      <c r="E21">
        <v>83</v>
      </c>
      <c r="F21" s="4" t="s">
        <v>23</v>
      </c>
      <c r="G21" s="2">
        <v>39123</v>
      </c>
      <c r="H21" s="2">
        <v>25755.55</v>
      </c>
      <c r="I21" s="2">
        <v>13367.45</v>
      </c>
    </row>
    <row r="22" spans="1:9" x14ac:dyDescent="0.2">
      <c r="D22" s="4" t="s">
        <v>25</v>
      </c>
      <c r="E22">
        <v>866</v>
      </c>
      <c r="F22" s="5" t="s">
        <v>14</v>
      </c>
      <c r="G22" s="2">
        <v>39123</v>
      </c>
      <c r="H22" s="2">
        <v>25755.55</v>
      </c>
      <c r="I22" s="2">
        <v>13367.45</v>
      </c>
    </row>
    <row r="23" spans="1:9" x14ac:dyDescent="0.2">
      <c r="A23" s="3" t="s">
        <v>24</v>
      </c>
      <c r="B23" t="s">
        <v>41</v>
      </c>
      <c r="F23" s="6" t="s">
        <v>10</v>
      </c>
      <c r="G23" s="2">
        <v>15252</v>
      </c>
      <c r="H23" s="2">
        <v>9151.2000000000007</v>
      </c>
      <c r="I23" s="2">
        <v>6100.7999999999993</v>
      </c>
    </row>
    <row r="24" spans="1:9" x14ac:dyDescent="0.2">
      <c r="A24" s="4" t="s">
        <v>26</v>
      </c>
      <c r="B24" s="2">
        <v>7109.4700000000012</v>
      </c>
      <c r="F24" s="6" t="s">
        <v>11</v>
      </c>
      <c r="G24" s="2">
        <v>10502</v>
      </c>
      <c r="H24" s="2">
        <v>7561.44</v>
      </c>
      <c r="I24" s="2">
        <v>2940.5600000000004</v>
      </c>
    </row>
    <row r="25" spans="1:9" x14ac:dyDescent="0.2">
      <c r="A25" s="4" t="s">
        <v>27</v>
      </c>
      <c r="B25" s="2">
        <v>14024.329999999998</v>
      </c>
      <c r="F25" s="6" t="s">
        <v>9</v>
      </c>
      <c r="G25" s="2">
        <v>13369</v>
      </c>
      <c r="H25" s="2">
        <v>9042.91</v>
      </c>
      <c r="I25" s="2">
        <v>4326.09</v>
      </c>
    </row>
    <row r="26" spans="1:9" x14ac:dyDescent="0.2">
      <c r="A26" s="4" t="s">
        <v>28</v>
      </c>
      <c r="B26" s="2">
        <v>8178.17</v>
      </c>
      <c r="F26" s="4" t="s">
        <v>15</v>
      </c>
      <c r="G26" s="2">
        <v>18414</v>
      </c>
      <c r="H26" s="2">
        <v>12760.68</v>
      </c>
      <c r="I26" s="2">
        <v>5653.32</v>
      </c>
    </row>
    <row r="27" spans="1:9" x14ac:dyDescent="0.2">
      <c r="A27" s="4" t="s">
        <v>29</v>
      </c>
      <c r="B27" s="2">
        <v>7940.6799999999994</v>
      </c>
      <c r="F27" s="5" t="s">
        <v>12</v>
      </c>
      <c r="G27" s="2">
        <v>18414</v>
      </c>
      <c r="H27" s="2">
        <v>12760.68</v>
      </c>
      <c r="I27" s="2">
        <v>5653.32</v>
      </c>
    </row>
    <row r="28" spans="1:9" x14ac:dyDescent="0.2">
      <c r="A28" s="4" t="s">
        <v>30</v>
      </c>
      <c r="B28" s="2">
        <v>3213.37</v>
      </c>
      <c r="F28" s="6" t="s">
        <v>10</v>
      </c>
      <c r="G28" s="2">
        <v>8640</v>
      </c>
      <c r="H28" s="2">
        <v>5788.8</v>
      </c>
      <c r="I28" s="2">
        <v>2851.2</v>
      </c>
    </row>
    <row r="29" spans="1:9" x14ac:dyDescent="0.2">
      <c r="A29" s="4" t="s">
        <v>31</v>
      </c>
      <c r="B29" s="2">
        <v>5414.1500000000005</v>
      </c>
      <c r="F29" s="6" t="s">
        <v>11</v>
      </c>
      <c r="G29" s="2">
        <v>1632</v>
      </c>
      <c r="H29" s="2">
        <v>1044.48</v>
      </c>
      <c r="I29" s="2">
        <v>587.52</v>
      </c>
    </row>
    <row r="30" spans="1:9" x14ac:dyDescent="0.2">
      <c r="A30" s="4" t="s">
        <v>32</v>
      </c>
      <c r="B30" s="2">
        <v>3315.06</v>
      </c>
      <c r="F30" s="6" t="s">
        <v>9</v>
      </c>
      <c r="G30" s="2">
        <v>8142</v>
      </c>
      <c r="H30" s="2">
        <v>5927.4</v>
      </c>
      <c r="I30" s="2">
        <v>2214.6</v>
      </c>
    </row>
    <row r="31" spans="1:9" x14ac:dyDescent="0.2">
      <c r="A31" s="4" t="s">
        <v>33</v>
      </c>
      <c r="B31" s="2">
        <v>9910.35</v>
      </c>
      <c r="F31" s="4" t="s">
        <v>19</v>
      </c>
      <c r="G31" s="2">
        <v>9622</v>
      </c>
      <c r="H31" s="2">
        <v>6581.58</v>
      </c>
      <c r="I31" s="2">
        <v>3040.42</v>
      </c>
    </row>
    <row r="32" spans="1:9" x14ac:dyDescent="0.2">
      <c r="A32" s="4" t="s">
        <v>34</v>
      </c>
      <c r="B32" s="2">
        <v>6932.34</v>
      </c>
      <c r="F32" s="5" t="s">
        <v>13</v>
      </c>
      <c r="G32" s="2">
        <v>9622</v>
      </c>
      <c r="H32" s="2">
        <v>6581.58</v>
      </c>
      <c r="I32" s="2">
        <v>3040.42</v>
      </c>
    </row>
    <row r="33" spans="1:9" x14ac:dyDescent="0.2">
      <c r="A33" s="4" t="s">
        <v>35</v>
      </c>
      <c r="B33" s="2">
        <v>2797.17</v>
      </c>
      <c r="F33" s="6" t="s">
        <v>10</v>
      </c>
      <c r="G33" s="2">
        <v>3578</v>
      </c>
      <c r="H33" s="2">
        <v>2347.34</v>
      </c>
      <c r="I33" s="2">
        <v>1230.6600000000001</v>
      </c>
    </row>
    <row r="34" spans="1:9" x14ac:dyDescent="0.2">
      <c r="A34" s="4" t="s">
        <v>36</v>
      </c>
      <c r="B34" s="2">
        <v>3996.0000000000005</v>
      </c>
      <c r="F34" s="6" t="s">
        <v>9</v>
      </c>
      <c r="G34" s="2">
        <v>6044</v>
      </c>
      <c r="H34" s="2">
        <v>4234.24</v>
      </c>
      <c r="I34" s="2">
        <v>1809.76</v>
      </c>
    </row>
    <row r="35" spans="1:9" x14ac:dyDescent="0.2">
      <c r="A35" s="4" t="s">
        <v>37</v>
      </c>
      <c r="B35" s="2">
        <v>4039.0200000000004</v>
      </c>
      <c r="F35" s="4" t="s">
        <v>18</v>
      </c>
      <c r="G35" s="2">
        <v>7653</v>
      </c>
      <c r="H35" s="2">
        <v>5012.6399999999994</v>
      </c>
      <c r="I35" s="2">
        <v>2640.36</v>
      </c>
    </row>
    <row r="36" spans="1:9" x14ac:dyDescent="0.2">
      <c r="A36" s="4" t="s">
        <v>25</v>
      </c>
      <c r="B36" s="2">
        <v>76870.11</v>
      </c>
      <c r="F36" s="5" t="s">
        <v>13</v>
      </c>
      <c r="G36" s="2">
        <v>7653</v>
      </c>
      <c r="H36" s="2">
        <v>5012.6399999999994</v>
      </c>
      <c r="I36" s="2">
        <v>2640.36</v>
      </c>
    </row>
    <row r="37" spans="1:9" x14ac:dyDescent="0.2">
      <c r="F37" s="6" t="s">
        <v>10</v>
      </c>
      <c r="G37" s="2">
        <v>2616</v>
      </c>
      <c r="H37" s="2">
        <v>1839.33</v>
      </c>
      <c r="I37" s="2">
        <v>776.67</v>
      </c>
    </row>
    <row r="38" spans="1:9" x14ac:dyDescent="0.2">
      <c r="F38" s="6" t="s">
        <v>11</v>
      </c>
      <c r="G38" s="2">
        <v>5037</v>
      </c>
      <c r="H38" s="2">
        <v>3173.31</v>
      </c>
      <c r="I38" s="2">
        <v>1863.69</v>
      </c>
    </row>
    <row r="39" spans="1:9" x14ac:dyDescent="0.2">
      <c r="F39" s="4" t="s">
        <v>21</v>
      </c>
      <c r="G39" s="2">
        <v>30442</v>
      </c>
      <c r="H39" s="2">
        <v>22139.800000000003</v>
      </c>
      <c r="I39" s="2">
        <v>8302.1999999999989</v>
      </c>
    </row>
    <row r="40" spans="1:9" x14ac:dyDescent="0.2">
      <c r="F40" s="5" t="s">
        <v>14</v>
      </c>
      <c r="G40" s="2">
        <v>30442</v>
      </c>
      <c r="H40" s="2">
        <v>22139.800000000003</v>
      </c>
      <c r="I40" s="2">
        <v>8302.1999999999989</v>
      </c>
    </row>
    <row r="41" spans="1:9" x14ac:dyDescent="0.2">
      <c r="F41" s="6" t="s">
        <v>10</v>
      </c>
      <c r="G41" s="2">
        <v>20278</v>
      </c>
      <c r="H41" s="2">
        <v>14110.240000000002</v>
      </c>
      <c r="I41" s="2">
        <v>6167.7599999999993</v>
      </c>
    </row>
    <row r="42" spans="1:9" x14ac:dyDescent="0.2">
      <c r="F42" s="6" t="s">
        <v>11</v>
      </c>
      <c r="G42" s="2">
        <v>10164</v>
      </c>
      <c r="H42" s="2">
        <v>8029.56</v>
      </c>
      <c r="I42" s="2">
        <v>2134.4399999999996</v>
      </c>
    </row>
    <row r="43" spans="1:9" x14ac:dyDescent="0.2">
      <c r="F43" s="4" t="s">
        <v>25</v>
      </c>
      <c r="G43" s="2">
        <v>254903</v>
      </c>
      <c r="H43" s="2">
        <v>178032.88999999993</v>
      </c>
      <c r="I43" s="2">
        <v>76870.109999999986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E2373-0A87-6649-ABDE-FF96A1ED6696}">
  <dimension ref="A1"/>
  <sheetViews>
    <sheetView zoomScale="61" workbookViewId="0">
      <selection activeCell="J38" sqref="J3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</vt:lpstr>
      <vt:lpstr>Reference_Table</vt:lpstr>
      <vt:lpstr>Analysis</vt:lpstr>
      <vt:lpstr>Executive_Dashboard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Hebert</dc:creator>
  <cp:lastModifiedBy>Noah Hebert</cp:lastModifiedBy>
  <dcterms:created xsi:type="dcterms:W3CDTF">2026-03-26T13:51:36Z</dcterms:created>
  <dcterms:modified xsi:type="dcterms:W3CDTF">2026-03-27T02:34:01Z</dcterms:modified>
</cp:coreProperties>
</file>